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Роман\Desktop\Рома  П\projects\Excel\"/>
    </mc:Choice>
  </mc:AlternateContent>
  <bookViews>
    <workbookView xWindow="0" yWindow="0" windowWidth="23040" windowHeight="9012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8" i="1" l="1"/>
  <c r="A28" i="1" l="1"/>
  <c r="C36" i="1" s="1"/>
  <c r="F50" i="1" l="1"/>
  <c r="G50" i="1" s="1"/>
  <c r="F51" i="1" l="1"/>
  <c r="G51" i="1" s="1"/>
  <c r="F52" i="1" l="1"/>
  <c r="F53" i="1" s="1"/>
  <c r="G52" i="1" l="1"/>
  <c r="F54" i="1"/>
  <c r="G53" i="1"/>
  <c r="F55" i="1" l="1"/>
  <c r="G54" i="1"/>
  <c r="C9" i="1"/>
  <c r="AA4" i="1" l="1"/>
  <c r="AH4" i="1"/>
  <c r="F56" i="1"/>
  <c r="G55" i="1"/>
  <c r="S2" i="1"/>
  <c r="T2" i="1" s="1"/>
  <c r="S6" i="1"/>
  <c r="T6" i="1" s="1"/>
  <c r="S10" i="1"/>
  <c r="T10" i="1" s="1"/>
  <c r="S14" i="1"/>
  <c r="T14" i="1" s="1"/>
  <c r="S18" i="1"/>
  <c r="T18" i="1" s="1"/>
  <c r="S22" i="1"/>
  <c r="T22" i="1" s="1"/>
  <c r="S5" i="1"/>
  <c r="T5" i="1" s="1"/>
  <c r="S13" i="1"/>
  <c r="T13" i="1" s="1"/>
  <c r="S3" i="1"/>
  <c r="T3" i="1" s="1"/>
  <c r="S7" i="1"/>
  <c r="T7" i="1" s="1"/>
  <c r="S11" i="1"/>
  <c r="T11" i="1" s="1"/>
  <c r="S15" i="1"/>
  <c r="T15" i="1" s="1"/>
  <c r="S19" i="1"/>
  <c r="T19" i="1" s="1"/>
  <c r="S16" i="1"/>
  <c r="T16" i="1" s="1"/>
  <c r="S9" i="1"/>
  <c r="T9" i="1" s="1"/>
  <c r="S21" i="1"/>
  <c r="T21" i="1" s="1"/>
  <c r="S4" i="1"/>
  <c r="T4" i="1" s="1"/>
  <c r="S8" i="1"/>
  <c r="T8" i="1" s="1"/>
  <c r="S12" i="1"/>
  <c r="T12" i="1" s="1"/>
  <c r="S20" i="1"/>
  <c r="T20" i="1" s="1"/>
  <c r="S17" i="1"/>
  <c r="T17" i="1" s="1"/>
  <c r="C17" i="1"/>
  <c r="C19" i="1"/>
  <c r="C11" i="1"/>
  <c r="AB4" i="1" l="1"/>
  <c r="AC4" i="1" s="1"/>
  <c r="F57" i="1"/>
  <c r="G56" i="1"/>
  <c r="T1" i="1"/>
  <c r="G49" i="1" s="1"/>
  <c r="C34" i="1"/>
  <c r="F58" i="1" l="1"/>
  <c r="G57" i="1"/>
  <c r="C39" i="1"/>
  <c r="C38" i="1"/>
  <c r="C37" i="1"/>
  <c r="C31" i="1"/>
  <c r="F59" i="1" l="1"/>
  <c r="G58" i="1"/>
  <c r="H4" i="1"/>
  <c r="F60" i="1" l="1"/>
  <c r="G59" i="1"/>
  <c r="C35" i="1"/>
  <c r="C29" i="1" s="1"/>
  <c r="C33" i="1"/>
  <c r="F61" i="1" l="1"/>
  <c r="G60" i="1"/>
  <c r="C30" i="1"/>
  <c r="C13" i="1"/>
  <c r="C32" i="1"/>
  <c r="C25" i="1" s="1"/>
  <c r="C15" i="1"/>
  <c r="F62" i="1" l="1"/>
  <c r="G61" i="1"/>
  <c r="C23" i="1"/>
  <c r="F63" i="1" l="1"/>
  <c r="G62" i="1"/>
  <c r="A27" i="1"/>
  <c r="C21" i="1" s="1"/>
  <c r="F64" i="1" l="1"/>
  <c r="G63" i="1"/>
  <c r="F65" i="1" l="1"/>
  <c r="G64" i="1"/>
  <c r="F66" i="1" l="1"/>
  <c r="G65" i="1"/>
  <c r="F67" i="1" l="1"/>
  <c r="G66" i="1"/>
  <c r="F68" i="1" l="1"/>
  <c r="G67" i="1"/>
  <c r="F69" i="1" l="1"/>
  <c r="G68" i="1"/>
  <c r="F70" i="1" l="1"/>
  <c r="G70" i="1" s="1"/>
  <c r="G69" i="1"/>
  <c r="AF4" i="1" l="1"/>
  <c r="AE4" i="1"/>
  <c r="AD4" i="1"/>
  <c r="AA5" i="1" l="1"/>
  <c r="AB5" i="1"/>
  <c r="AD5" i="1" l="1"/>
  <c r="AC5" i="1"/>
  <c r="AF5" i="1" s="1"/>
  <c r="AE5" i="1"/>
  <c r="AA6" i="1" l="1"/>
  <c r="AB6" i="1"/>
  <c r="AD6" i="1" l="1"/>
  <c r="AE6" i="1" s="1"/>
  <c r="AC6" i="1"/>
  <c r="AF6" i="1" l="1"/>
  <c r="AB7" i="1" s="1"/>
  <c r="AA7" i="1" l="1"/>
  <c r="AD7" i="1" s="1"/>
  <c r="AC7" i="1"/>
  <c r="AF7" i="1" l="1"/>
  <c r="AE7" i="1"/>
  <c r="AA9" i="1" l="1"/>
  <c r="AB9" i="1"/>
  <c r="AD9" i="1" l="1"/>
  <c r="AE9" i="1" s="1"/>
  <c r="AC9" i="1"/>
  <c r="AF9" i="1" l="1"/>
  <c r="AA11" i="1" s="1"/>
  <c r="AB11" i="1" l="1"/>
  <c r="AD11" i="1" s="1"/>
  <c r="AE11" i="1" l="1"/>
  <c r="AC11" i="1"/>
  <c r="AF11" i="1" s="1"/>
  <c r="AB13" i="1" s="1"/>
  <c r="AA13" i="1" l="1"/>
  <c r="AC13" i="1" s="1"/>
  <c r="AD13" i="1" l="1"/>
  <c r="AF13" i="1" s="1"/>
  <c r="AE13" i="1" l="1"/>
  <c r="AA15" i="1" s="1"/>
  <c r="AB15" i="1"/>
  <c r="AC15" i="1" l="1"/>
  <c r="AD15" i="1"/>
  <c r="AF15" i="1" l="1"/>
  <c r="AE15" i="1"/>
  <c r="AA17" i="1" l="1"/>
  <c r="AB17" i="1"/>
  <c r="AD17" i="1" l="1"/>
  <c r="AE17" i="1" s="1"/>
  <c r="AC17" i="1"/>
  <c r="AF17" i="1" l="1"/>
  <c r="AA19" i="1" s="1"/>
  <c r="AB19" i="1"/>
  <c r="AC19" i="1" l="1"/>
  <c r="AD19" i="1"/>
  <c r="AF19" i="1" l="1"/>
  <c r="AE19" i="1"/>
  <c r="AA21" i="1" s="1"/>
  <c r="AB21" i="1" l="1"/>
  <c r="AD21" i="1" s="1"/>
  <c r="AE21" i="1" s="1"/>
  <c r="AC21" i="1"/>
  <c r="AF21" i="1" l="1"/>
  <c r="AA23" i="1" s="1"/>
  <c r="AB23" i="1" l="1"/>
  <c r="AD23" i="1" s="1"/>
  <c r="AE23" i="1" s="1"/>
  <c r="AC23" i="1" l="1"/>
  <c r="AF23" i="1" s="1"/>
  <c r="AB25" i="1" s="1"/>
  <c r="AA25" i="1" l="1"/>
  <c r="AD25" i="1" l="1"/>
  <c r="AC25" i="1"/>
  <c r="AE25" i="1" l="1"/>
  <c r="AF25" i="1"/>
  <c r="AA41" i="1" l="1"/>
  <c r="AB41" i="1"/>
  <c r="AD41" i="1" s="1"/>
  <c r="AE41" i="1" l="1"/>
  <c r="AC41" i="1"/>
  <c r="AF41" i="1" s="1"/>
  <c r="AB42" i="1" s="1"/>
  <c r="AA42" i="1" l="1"/>
  <c r="AC42" i="1" s="1"/>
  <c r="AD42" i="1" l="1"/>
  <c r="AF42" i="1" l="1"/>
  <c r="AE42" i="1"/>
  <c r="AA43" i="1" s="1"/>
  <c r="AB43" i="1" l="1"/>
  <c r="AD43" i="1" s="1"/>
  <c r="AE43" i="1" l="1"/>
  <c r="AC43" i="1"/>
  <c r="AF43" i="1" s="1"/>
  <c r="AA44" i="1" l="1"/>
  <c r="AB44" i="1"/>
  <c r="AD44" i="1" s="1"/>
  <c r="AE44" i="1" s="1"/>
  <c r="AC44" i="1" l="1"/>
  <c r="AF44" i="1" s="1"/>
  <c r="AB45" i="1" s="1"/>
  <c r="AA45" i="1" l="1"/>
  <c r="AC45" i="1" s="1"/>
  <c r="AD45" i="1" l="1"/>
  <c r="AE45" i="1" l="1"/>
  <c r="AF45" i="1"/>
  <c r="AA46" i="1" l="1"/>
  <c r="AB46" i="1"/>
  <c r="AD46" i="1" s="1"/>
  <c r="AE46" i="1" s="1"/>
  <c r="AI4" i="1"/>
  <c r="AC46" i="1" l="1"/>
  <c r="AF46" i="1" s="1"/>
  <c r="AL4" i="1"/>
  <c r="AK4" i="1"/>
  <c r="AJ4" i="1"/>
  <c r="AM4" i="1" s="1"/>
  <c r="AA47" i="1" l="1"/>
  <c r="AB47" i="1"/>
  <c r="AD47" i="1" s="1"/>
  <c r="AF47" i="1" s="1"/>
  <c r="AI5" i="1"/>
  <c r="AH5" i="1"/>
  <c r="AA48" i="1" l="1"/>
  <c r="AE47" i="1"/>
  <c r="AC47" i="1"/>
  <c r="AJ5" i="1"/>
  <c r="AK5" i="1"/>
  <c r="AL5" i="1" s="1"/>
  <c r="AM5" i="1" l="1"/>
  <c r="AH6" i="1" s="1"/>
  <c r="AI6" i="1" l="1"/>
  <c r="AK6" i="1" s="1"/>
  <c r="AL6" i="1" l="1"/>
  <c r="AJ6" i="1"/>
  <c r="AM6" i="1" s="1"/>
  <c r="AI7" i="1" l="1"/>
  <c r="AH7" i="1"/>
  <c r="AJ7" i="1" l="1"/>
  <c r="AK7" i="1"/>
  <c r="AL7" i="1" s="1"/>
  <c r="AM7" i="1" l="1"/>
  <c r="AH9" i="1" s="1"/>
  <c r="AI9" i="1" l="1"/>
  <c r="AK9" i="1" s="1"/>
  <c r="AL9" i="1" s="1"/>
  <c r="AJ9" i="1" l="1"/>
  <c r="AM9" i="1" s="1"/>
  <c r="AH11" i="1" s="1"/>
  <c r="AI11" i="1" l="1"/>
  <c r="AK11" i="1" s="1"/>
  <c r="AL11" i="1" s="1"/>
  <c r="AJ11" i="1" l="1"/>
  <c r="AM11" i="1" s="1"/>
  <c r="AH13" i="1" s="1"/>
  <c r="AI13" i="1" l="1"/>
  <c r="AK13" i="1" s="1"/>
  <c r="AL13" i="1" s="1"/>
  <c r="AJ13" i="1" l="1"/>
  <c r="AM13" i="1" s="1"/>
  <c r="AH15" i="1" s="1"/>
  <c r="AI15" i="1" l="1"/>
  <c r="AK15" i="1" l="1"/>
  <c r="AJ15" i="1"/>
  <c r="AL15" i="1" l="1"/>
  <c r="AM15" i="1"/>
  <c r="AH17" i="1" l="1"/>
  <c r="AI17" i="1"/>
  <c r="AJ17" i="1" s="1"/>
  <c r="AK17" i="1"/>
  <c r="AM17" i="1" l="1"/>
  <c r="AL17" i="1"/>
  <c r="AH19" i="1" l="1"/>
  <c r="AI19" i="1"/>
  <c r="AK19" i="1" s="1"/>
  <c r="AL19" i="1" s="1"/>
  <c r="AJ19" i="1" l="1"/>
  <c r="AM19" i="1" s="1"/>
  <c r="AH21" i="1" s="1"/>
  <c r="AI21" i="1" l="1"/>
  <c r="AK21" i="1" s="1"/>
  <c r="AL21" i="1" s="1"/>
  <c r="AJ21" i="1" l="1"/>
  <c r="AM21" i="1" s="1"/>
  <c r="AH23" i="1" s="1"/>
  <c r="AI23" i="1" l="1"/>
  <c r="AK23" i="1" s="1"/>
  <c r="AL23" i="1" s="1"/>
  <c r="AJ23" i="1" l="1"/>
  <c r="AM23" i="1" s="1"/>
  <c r="AH25" i="1" s="1"/>
  <c r="AI25" i="1" l="1"/>
  <c r="AJ25" i="1" l="1"/>
  <c r="AK25" i="1"/>
  <c r="AL25" i="1" l="1"/>
  <c r="AM25" i="1"/>
  <c r="AI41" i="1" s="1"/>
  <c r="AH41" i="1" l="1"/>
  <c r="AJ41" i="1" s="1"/>
  <c r="AK41" i="1" l="1"/>
  <c r="AL41" i="1" l="1"/>
  <c r="AM41" i="1"/>
  <c r="AH42" i="1" l="1"/>
  <c r="AI42" i="1"/>
  <c r="AK42" i="1" s="1"/>
  <c r="AL42" i="1" s="1"/>
  <c r="AJ42" i="1" l="1"/>
  <c r="AM42" i="1" s="1"/>
  <c r="AI43" i="1" l="1"/>
  <c r="AH43" i="1"/>
  <c r="AJ43" i="1" s="1"/>
  <c r="AK43" i="1"/>
  <c r="AL43" i="1" s="1"/>
  <c r="AM43" i="1" l="1"/>
  <c r="AI44" i="1" s="1"/>
  <c r="AH44" i="1" l="1"/>
  <c r="AK44" i="1" s="1"/>
  <c r="AL44" i="1" s="1"/>
  <c r="AJ44" i="1" l="1"/>
  <c r="AM44" i="1" s="1"/>
  <c r="AH45" i="1" s="1"/>
  <c r="AI45" i="1" l="1"/>
  <c r="AK45" i="1" s="1"/>
  <c r="AL45" i="1" s="1"/>
  <c r="AJ45" i="1" l="1"/>
  <c r="AM45" i="1" s="1"/>
  <c r="AI46" i="1" s="1"/>
  <c r="AH46" i="1" l="1"/>
  <c r="AJ46" i="1" s="1"/>
  <c r="AK46" i="1"/>
  <c r="AL46" i="1" l="1"/>
  <c r="AM46" i="1"/>
  <c r="AH47" i="1" l="1"/>
  <c r="AI47" i="1"/>
  <c r="AK47" i="1" s="1"/>
  <c r="AM47" i="1" s="1"/>
  <c r="AL47" i="1" l="1"/>
  <c r="AH48" i="1"/>
  <c r="X11" i="1" s="1"/>
  <c r="AJ47" i="1"/>
</calcChain>
</file>

<file path=xl/sharedStrings.xml><?xml version="1.0" encoding="utf-8"?>
<sst xmlns="http://schemas.openxmlformats.org/spreadsheetml/2006/main" count="59" uniqueCount="52">
  <si>
    <t>Полное исследование и постороение графика квадратичной функции вида:</t>
  </si>
  <si>
    <t>y=ax²+bx+c</t>
  </si>
  <si>
    <t xml:space="preserve">a = </t>
  </si>
  <si>
    <t xml:space="preserve">b = </t>
  </si>
  <si>
    <t xml:space="preserve">c = </t>
  </si>
  <si>
    <t>Нули функции:</t>
  </si>
  <si>
    <t>Направление Ветвей:</t>
  </si>
  <si>
    <t>у вершины:</t>
  </si>
  <si>
    <t>x вершины:</t>
  </si>
  <si>
    <t>∞</t>
  </si>
  <si>
    <t>-</t>
  </si>
  <si>
    <t>ᴗ</t>
  </si>
  <si>
    <t>x</t>
  </si>
  <si>
    <t>D=0</t>
  </si>
  <si>
    <t>D&gt;0</t>
  </si>
  <si>
    <t>D&lt;0</t>
  </si>
  <si>
    <t>b + d0,5</t>
  </si>
  <si>
    <t>b - d 0,5</t>
  </si>
  <si>
    <t>²</t>
  </si>
  <si>
    <t>а</t>
  </si>
  <si>
    <t>b</t>
  </si>
  <si>
    <t>c</t>
  </si>
  <si>
    <t>ø</t>
  </si>
  <si>
    <t>Введите значения коефицентов:</t>
  </si>
  <si>
    <t>Функция убывает на x ∈</t>
  </si>
  <si>
    <t>D(f) : y ∈</t>
  </si>
  <si>
    <t>Функция:</t>
  </si>
  <si>
    <t>Функция возрастает на x ∈</t>
  </si>
  <si>
    <t xml:space="preserve"> у &gt; 0, на x ∈</t>
  </si>
  <si>
    <t>у &lt; 0, на x ∈</t>
  </si>
  <si>
    <t>Изменение масштаба графика:</t>
  </si>
  <si>
    <t>Выберите вариант графика:</t>
  </si>
  <si>
    <t xml:space="preserve">Нахожение нулей функции методом середины отрезков </t>
  </si>
  <si>
    <t xml:space="preserve">у = 0, при x = </t>
  </si>
  <si>
    <t>∈</t>
  </si>
  <si>
    <t xml:space="preserve">k (начальное) = </t>
  </si>
  <si>
    <t xml:space="preserve">m (начальное) = </t>
  </si>
  <si>
    <t>Введите точность вычислений</t>
  </si>
  <si>
    <t>t =</t>
  </si>
  <si>
    <t>k</t>
  </si>
  <si>
    <t>m</t>
  </si>
  <si>
    <t>s</t>
  </si>
  <si>
    <t>f (k)</t>
  </si>
  <si>
    <t>f (m)</t>
  </si>
  <si>
    <t>f (s)</t>
  </si>
  <si>
    <t>Таблица значений для второго  промежутка</t>
  </si>
  <si>
    <t>Таблица значений для первого промежутка</t>
  </si>
  <si>
    <t>k вер.</t>
  </si>
  <si>
    <t>Введите k и m (k &lt; m)</t>
  </si>
  <si>
    <r>
      <t>m</t>
    </r>
    <r>
      <rPr>
        <i/>
        <sz val="8"/>
        <color theme="0"/>
        <rFont val="Trebuchet MS"/>
        <family val="2"/>
        <charset val="204"/>
      </rPr>
      <t>вер.</t>
    </r>
  </si>
  <si>
    <r>
      <t>f (m</t>
    </r>
    <r>
      <rPr>
        <i/>
        <sz val="8"/>
        <color theme="0"/>
        <rFont val="Trebuchet MS"/>
        <family val="2"/>
        <charset val="204"/>
      </rPr>
      <t>вер.</t>
    </r>
    <r>
      <rPr>
        <i/>
        <sz val="11"/>
        <color theme="0"/>
        <rFont val="Trebuchet MS"/>
        <family val="2"/>
        <charset val="204"/>
      </rPr>
      <t>)</t>
    </r>
  </si>
  <si>
    <r>
      <t>f (k</t>
    </r>
    <r>
      <rPr>
        <i/>
        <sz val="8"/>
        <color theme="0"/>
        <rFont val="Times New Roman"/>
        <family val="1"/>
        <charset val="204"/>
      </rPr>
      <t>вер.</t>
    </r>
    <r>
      <rPr>
        <i/>
        <sz val="11"/>
        <color theme="0"/>
        <rFont val="Times New Roman"/>
        <family val="1"/>
        <charset val="204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</si>
</sst>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i/>
      <sz val="11"/>
      <color theme="1"/>
      <name val="Times"/>
      <family val="1"/>
    </font>
    <font>
      <b/>
      <i/>
      <sz val="11"/>
      <color theme="1"/>
      <name val="Times"/>
      <family val="1"/>
    </font>
    <font>
      <i/>
      <sz val="11"/>
      <color theme="1"/>
      <name val="Times"/>
      <charset val="204"/>
    </font>
    <font>
      <i/>
      <sz val="11"/>
      <color theme="1"/>
      <name val="Times  "/>
      <charset val="204"/>
    </font>
    <font>
      <sz val="11"/>
      <name val="Calibri"/>
      <family val="2"/>
      <charset val="204"/>
      <scheme val="minor"/>
    </font>
    <font>
      <i/>
      <sz val="14"/>
      <color theme="3" tint="-0.499984740745262"/>
      <name val="Times"/>
      <family val="1"/>
    </font>
    <font>
      <sz val="14"/>
      <color theme="3" tint="-0.499984740745262"/>
      <name val="Calibri"/>
      <family val="2"/>
      <charset val="204"/>
      <scheme val="minor"/>
    </font>
    <font>
      <i/>
      <sz val="11"/>
      <color theme="1"/>
      <name val="Trebuchet MS"/>
      <family val="2"/>
      <charset val="204"/>
    </font>
    <font>
      <sz val="12"/>
      <color rgb="FF002060"/>
      <name val="Trebuchet MS"/>
      <family val="2"/>
      <charset val="204"/>
    </font>
    <font>
      <i/>
      <sz val="14"/>
      <color theme="1"/>
      <name val="Times New Roman"/>
      <family val="1"/>
      <charset val="204"/>
    </font>
    <font>
      <sz val="8"/>
      <color rgb="FF000000"/>
      <name val="Segoe UI"/>
      <family val="2"/>
      <charset val="204"/>
    </font>
    <font>
      <sz val="11"/>
      <color theme="1"/>
      <name val="Trebuchet MS"/>
      <family val="2"/>
      <charset val="204"/>
    </font>
    <font>
      <i/>
      <sz val="11"/>
      <color theme="1"/>
      <name val="Calibri"/>
      <family val="2"/>
      <charset val="204"/>
      <scheme val="minor"/>
    </font>
    <font>
      <i/>
      <sz val="11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0"/>
      <name val="Trebuchet MS"/>
      <family val="2"/>
      <charset val="204"/>
    </font>
    <font>
      <i/>
      <sz val="8"/>
      <color theme="0"/>
      <name val="Trebuchet MS"/>
      <family val="2"/>
      <charset val="204"/>
    </font>
    <font>
      <i/>
      <sz val="10"/>
      <color theme="0"/>
      <name val="Times New Roman"/>
      <family val="1"/>
      <charset val="204"/>
    </font>
    <font>
      <i/>
      <sz val="11"/>
      <color theme="0"/>
      <name val="Times New Roman"/>
      <family val="1"/>
      <charset val="204"/>
    </font>
    <font>
      <i/>
      <sz val="8"/>
      <color theme="0"/>
      <name val="Times New Roman"/>
      <family val="1"/>
      <charset val="204"/>
    </font>
    <font>
      <sz val="11"/>
      <color theme="0"/>
      <name val="Trebuchet MS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/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 style="mediumDashed">
        <color auto="1"/>
      </right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mediumDashed">
        <color auto="1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Dashed">
        <color theme="1"/>
      </right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Protection="1">
      <protection locked="0"/>
    </xf>
    <xf numFmtId="0" fontId="0" fillId="2" borderId="0" xfId="0" applyFill="1" applyProtection="1"/>
    <xf numFmtId="0" fontId="0" fillId="8" borderId="0" xfId="0" applyFill="1" applyProtection="1"/>
    <xf numFmtId="0" fontId="2" fillId="8" borderId="0" xfId="0" applyFont="1" applyFill="1" applyProtection="1"/>
    <xf numFmtId="0" fontId="0" fillId="7" borderId="0" xfId="0" applyNumberFormat="1" applyFill="1" applyProtection="1"/>
    <xf numFmtId="0" fontId="0" fillId="7" borderId="0" xfId="0" applyFill="1" applyProtection="1"/>
    <xf numFmtId="0" fontId="0" fillId="4" borderId="0" xfId="0" applyFill="1" applyProtection="1"/>
    <xf numFmtId="0" fontId="0" fillId="9" borderId="0" xfId="0" applyNumberFormat="1" applyFill="1" applyProtection="1"/>
    <xf numFmtId="0" fontId="0" fillId="0" borderId="5" xfId="0" applyBorder="1" applyAlignment="1" applyProtection="1">
      <protection locked="0"/>
    </xf>
    <xf numFmtId="0" fontId="0" fillId="0" borderId="0" xfId="0" applyBorder="1" applyProtection="1">
      <protection locked="0"/>
    </xf>
    <xf numFmtId="0" fontId="1" fillId="0" borderId="0" xfId="0" applyFont="1" applyBorder="1" applyProtection="1">
      <protection locked="0"/>
    </xf>
    <xf numFmtId="0" fontId="3" fillId="2" borderId="0" xfId="0" applyNumberFormat="1" applyFont="1" applyFill="1" applyBorder="1" applyAlignment="1" applyProtection="1">
      <alignment horizontal="center"/>
    </xf>
    <xf numFmtId="2" fontId="3" fillId="2" borderId="0" xfId="0" applyNumberFormat="1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Border="1" applyProtection="1"/>
    <xf numFmtId="0" fontId="0" fillId="12" borderId="0" xfId="0" applyFill="1" applyProtection="1"/>
    <xf numFmtId="0" fontId="0" fillId="0" borderId="0" xfId="0" applyProtection="1"/>
    <xf numFmtId="0" fontId="0" fillId="0" borderId="8" xfId="0" applyBorder="1" applyAlignment="1" applyProtection="1"/>
    <xf numFmtId="0" fontId="0" fillId="0" borderId="7" xfId="0" applyBorder="1" applyProtection="1"/>
    <xf numFmtId="0" fontId="0" fillId="0" borderId="0" xfId="0" applyBorder="1" applyAlignment="1" applyProtection="1"/>
    <xf numFmtId="0" fontId="0" fillId="0" borderId="6" xfId="0" applyBorder="1" applyProtection="1"/>
    <xf numFmtId="0" fontId="0" fillId="0" borderId="0" xfId="0" applyAlignment="1" applyProtection="1">
      <protection locked="0"/>
    </xf>
    <xf numFmtId="0" fontId="17" fillId="0" borderId="0" xfId="0" applyFont="1" applyAlignment="1" applyProtection="1">
      <alignment horizontal="center" vertical="center"/>
    </xf>
    <xf numFmtId="0" fontId="17" fillId="0" borderId="0" xfId="0" applyFont="1" applyFill="1" applyAlignment="1" applyProtection="1">
      <alignment horizontal="center" vertical="center"/>
    </xf>
    <xf numFmtId="0" fontId="17" fillId="0" borderId="0" xfId="0" applyFont="1" applyProtection="1">
      <protection locked="0"/>
    </xf>
    <xf numFmtId="0" fontId="17" fillId="0" borderId="0" xfId="0" applyFont="1" applyProtection="1"/>
    <xf numFmtId="0" fontId="14" fillId="0" borderId="0" xfId="0" applyFont="1" applyFill="1" applyBorder="1" applyAlignment="1" applyProtection="1"/>
    <xf numFmtId="0" fontId="0" fillId="0" borderId="0" xfId="0" applyBorder="1" applyAlignment="1" applyProtection="1">
      <alignment horizontal="center"/>
      <protection locked="0"/>
    </xf>
    <xf numFmtId="0" fontId="14" fillId="0" borderId="6" xfId="0" applyFont="1" applyFill="1" applyBorder="1" applyAlignment="1" applyProtection="1"/>
    <xf numFmtId="0" fontId="17" fillId="0" borderId="17" xfId="0" applyFont="1" applyBorder="1" applyProtection="1">
      <protection locked="0"/>
    </xf>
    <xf numFmtId="0" fontId="10" fillId="11" borderId="3" xfId="0" applyFont="1" applyFill="1" applyBorder="1" applyAlignment="1" applyProtection="1">
      <alignment horizontal="center"/>
    </xf>
    <xf numFmtId="0" fontId="10" fillId="11" borderId="2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18" fillId="0" borderId="0" xfId="0" applyFont="1" applyProtection="1"/>
    <xf numFmtId="0" fontId="18" fillId="0" borderId="0" xfId="0" applyFont="1" applyFill="1" applyAlignment="1" applyProtection="1">
      <alignment horizontal="center" vertical="center"/>
    </xf>
    <xf numFmtId="0" fontId="18" fillId="12" borderId="0" xfId="0" applyFont="1" applyFill="1" applyProtection="1"/>
    <xf numFmtId="0" fontId="18" fillId="0" borderId="0" xfId="0" applyFont="1" applyProtection="1">
      <protection locked="0"/>
    </xf>
    <xf numFmtId="0" fontId="19" fillId="0" borderId="5" xfId="0" applyFont="1" applyFill="1" applyBorder="1" applyAlignment="1" applyProtection="1">
      <alignment wrapText="1"/>
    </xf>
    <xf numFmtId="0" fontId="18" fillId="0" borderId="0" xfId="0" applyFont="1" applyAlignment="1" applyProtection="1">
      <alignment horizontal="center"/>
    </xf>
    <xf numFmtId="0" fontId="19" fillId="0" borderId="18" xfId="0" applyFont="1" applyFill="1" applyBorder="1" applyAlignment="1" applyProtection="1">
      <alignment wrapText="1"/>
    </xf>
    <xf numFmtId="0" fontId="19" fillId="0" borderId="0" xfId="0" applyFont="1" applyFill="1" applyBorder="1" applyAlignment="1" applyProtection="1">
      <alignment wrapText="1"/>
    </xf>
    <xf numFmtId="0" fontId="21" fillId="0" borderId="15" xfId="0" applyFont="1" applyFill="1" applyBorder="1" applyAlignment="1" applyProtection="1">
      <alignment horizontal="center" wrapText="1"/>
    </xf>
    <xf numFmtId="0" fontId="21" fillId="0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center"/>
    </xf>
    <xf numFmtId="0" fontId="24" fillId="0" borderId="0" xfId="0" applyFont="1" applyFill="1" applyBorder="1" applyAlignment="1" applyProtection="1"/>
    <xf numFmtId="0" fontId="24" fillId="0" borderId="6" xfId="0" applyFont="1" applyFill="1" applyBorder="1" applyAlignment="1" applyProtection="1"/>
    <xf numFmtId="0" fontId="22" fillId="0" borderId="19" xfId="0" applyFont="1" applyFill="1" applyBorder="1" applyAlignment="1" applyProtection="1">
      <alignment horizontal="center"/>
    </xf>
    <xf numFmtId="0" fontId="22" fillId="0" borderId="16" xfId="0" applyFont="1" applyFill="1" applyBorder="1" applyAlignment="1" applyProtection="1">
      <alignment horizontal="center"/>
    </xf>
    <xf numFmtId="0" fontId="22" fillId="0" borderId="20" xfId="0" applyFont="1" applyFill="1" applyBorder="1" applyAlignment="1" applyProtection="1">
      <alignment horizontal="center"/>
    </xf>
    <xf numFmtId="0" fontId="24" fillId="12" borderId="0" xfId="0" applyFont="1" applyFill="1" applyBorder="1" applyAlignment="1" applyProtection="1"/>
    <xf numFmtId="0" fontId="18" fillId="0" borderId="0" xfId="0" applyFont="1" applyBorder="1" applyProtection="1"/>
    <xf numFmtId="0" fontId="18" fillId="0" borderId="0" xfId="0" applyFont="1" applyBorder="1" applyProtection="1">
      <protection locked="0"/>
    </xf>
    <xf numFmtId="0" fontId="22" fillId="0" borderId="0" xfId="0" applyFont="1" applyFill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/>
    </xf>
    <xf numFmtId="0" fontId="21" fillId="0" borderId="15" xfId="0" applyFont="1" applyFill="1" applyBorder="1" applyAlignment="1" applyProtection="1">
      <alignment horizontal="center"/>
    </xf>
    <xf numFmtId="0" fontId="16" fillId="3" borderId="12" xfId="0" applyFont="1" applyFill="1" applyBorder="1" applyAlignment="1" applyProtection="1">
      <alignment horizontal="center"/>
      <protection locked="0"/>
    </xf>
    <xf numFmtId="0" fontId="10" fillId="11" borderId="14" xfId="0" applyFont="1" applyFill="1" applyBorder="1" applyAlignment="1" applyProtection="1">
      <alignment horizontal="center"/>
    </xf>
    <xf numFmtId="0" fontId="10" fillId="11" borderId="3" xfId="0" applyFont="1" applyFill="1" applyBorder="1" applyAlignment="1" applyProtection="1">
      <alignment horizontal="center"/>
    </xf>
    <xf numFmtId="0" fontId="10" fillId="11" borderId="13" xfId="0" applyFont="1" applyFill="1" applyBorder="1" applyAlignment="1" applyProtection="1">
      <alignment horizontal="center"/>
    </xf>
    <xf numFmtId="0" fontId="10" fillId="11" borderId="16" xfId="0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/>
      <protection locked="0"/>
    </xf>
    <xf numFmtId="0" fontId="16" fillId="2" borderId="16" xfId="0" applyFont="1" applyFill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center" wrapText="1"/>
    </xf>
    <xf numFmtId="0" fontId="15" fillId="3" borderId="3" xfId="0" applyFont="1" applyFill="1" applyBorder="1" applyAlignment="1" applyProtection="1">
      <alignment horizontal="center"/>
      <protection locked="0"/>
    </xf>
    <xf numFmtId="0" fontId="10" fillId="11" borderId="0" xfId="0" applyFont="1" applyFill="1" applyBorder="1" applyAlignment="1" applyProtection="1">
      <alignment horizontal="center"/>
    </xf>
    <xf numFmtId="0" fontId="10" fillId="11" borderId="0" xfId="0" applyFont="1" applyFill="1" applyBorder="1" applyAlignment="1" applyProtection="1">
      <alignment horizontal="center" wrapText="1"/>
    </xf>
    <xf numFmtId="0" fontId="10" fillId="11" borderId="0" xfId="0" applyFont="1" applyFill="1" applyBorder="1" applyAlignment="1" applyProtection="1">
      <alignment horizontal="center" vertical="center" wrapText="1"/>
    </xf>
    <xf numFmtId="0" fontId="10" fillId="11" borderId="11" xfId="0" applyFont="1" applyFill="1" applyBorder="1" applyAlignment="1" applyProtection="1">
      <alignment horizontal="center" wrapText="1"/>
    </xf>
    <xf numFmtId="0" fontId="10" fillId="11" borderId="1" xfId="0" applyFont="1" applyFill="1" applyBorder="1" applyAlignment="1" applyProtection="1">
      <alignment horizontal="center" wrapText="1"/>
    </xf>
    <xf numFmtId="0" fontId="10" fillId="11" borderId="9" xfId="0" applyFont="1" applyFill="1" applyBorder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10" fillId="11" borderId="1" xfId="0" applyFont="1" applyFill="1" applyBorder="1" applyAlignment="1" applyProtection="1">
      <alignment horizontal="center"/>
    </xf>
    <xf numFmtId="0" fontId="16" fillId="3" borderId="2" xfId="0" applyFont="1" applyFill="1" applyBorder="1" applyAlignment="1" applyProtection="1">
      <alignment horizontal="center"/>
      <protection locked="0"/>
    </xf>
    <xf numFmtId="0" fontId="15" fillId="3" borderId="2" xfId="0" applyFont="1" applyFill="1" applyBorder="1" applyAlignment="1" applyProtection="1">
      <alignment horizontal="center"/>
      <protection locked="0"/>
    </xf>
    <xf numFmtId="0" fontId="10" fillId="11" borderId="8" xfId="0" applyFont="1" applyFill="1" applyBorder="1" applyAlignment="1" applyProtection="1">
      <alignment horizontal="center" vertical="center" wrapText="1"/>
    </xf>
    <xf numFmtId="0" fontId="11" fillId="11" borderId="0" xfId="0" applyFont="1" applyFill="1" applyBorder="1" applyAlignment="1" applyProtection="1">
      <alignment horizontal="center" vertical="center"/>
    </xf>
    <xf numFmtId="0" fontId="8" fillId="11" borderId="0" xfId="0" applyFont="1" applyFill="1" applyBorder="1" applyAlignment="1" applyProtection="1">
      <alignment horizontal="center" vertical="center"/>
    </xf>
    <xf numFmtId="0" fontId="9" fillId="11" borderId="0" xfId="0" applyFont="1" applyFill="1" applyBorder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10" fillId="11" borderId="10" xfId="0" applyFont="1" applyFill="1" applyBorder="1" applyAlignment="1" applyProtection="1">
      <alignment horizontal="center"/>
    </xf>
    <xf numFmtId="0" fontId="16" fillId="3" borderId="10" xfId="0" applyFont="1" applyFill="1" applyBorder="1" applyAlignment="1" applyProtection="1">
      <alignment horizontal="center"/>
      <protection locked="0"/>
    </xf>
    <xf numFmtId="0" fontId="10" fillId="11" borderId="12" xfId="0" applyFont="1" applyFill="1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10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7" fillId="6" borderId="0" xfId="0" applyFont="1" applyFill="1" applyAlignment="1" applyProtection="1">
      <alignment horizontal="center"/>
    </xf>
    <xf numFmtId="0" fontId="0" fillId="6" borderId="0" xfId="0" applyFill="1" applyAlignment="1" applyProtection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A5D2F3"/>
      <color rgb="FFA5CCF3"/>
      <color rgb="FFA2D6F6"/>
      <color rgb="FF99CCFF"/>
      <color rgb="FFA1C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j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13080632362815E-2"/>
          <c:y val="0.11725827375026397"/>
          <c:w val="0.92659891350790469"/>
          <c:h val="0.813016562584849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Лист1!$T$1</c:f>
              <c:strCache>
                <c:ptCount val="1"/>
                <c:pt idx="0">
                  <c:v> у = х² - 1</c:v>
                </c:pt>
              </c:strCache>
            </c:strRef>
          </c:tx>
          <c:spPr>
            <a:ln w="25400" cap="flat" cmpd="sng" algn="ctr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Лист1!$S$2:$S$22</c:f>
              <c:numCache>
                <c:formatCode>General</c:formatCode>
                <c:ptCount val="21"/>
                <c:pt idx="0">
                  <c:v>-5.2</c:v>
                </c:pt>
                <c:pt idx="1">
                  <c:v>-4.68</c:v>
                </c:pt>
                <c:pt idx="2">
                  <c:v>-4.16</c:v>
                </c:pt>
                <c:pt idx="3">
                  <c:v>-3.64</c:v>
                </c:pt>
                <c:pt idx="4">
                  <c:v>-3.12</c:v>
                </c:pt>
                <c:pt idx="5">
                  <c:v>-2.6</c:v>
                </c:pt>
                <c:pt idx="6">
                  <c:v>-2.08</c:v>
                </c:pt>
                <c:pt idx="7">
                  <c:v>-1.56</c:v>
                </c:pt>
                <c:pt idx="8">
                  <c:v>-1.04</c:v>
                </c:pt>
                <c:pt idx="9">
                  <c:v>-0.52</c:v>
                </c:pt>
                <c:pt idx="10">
                  <c:v>0</c:v>
                </c:pt>
                <c:pt idx="11">
                  <c:v>0.52</c:v>
                </c:pt>
                <c:pt idx="12">
                  <c:v>1.04</c:v>
                </c:pt>
                <c:pt idx="13">
                  <c:v>1.56</c:v>
                </c:pt>
                <c:pt idx="14">
                  <c:v>2.08</c:v>
                </c:pt>
                <c:pt idx="15">
                  <c:v>2.6</c:v>
                </c:pt>
                <c:pt idx="16">
                  <c:v>3.12</c:v>
                </c:pt>
                <c:pt idx="17">
                  <c:v>3.64</c:v>
                </c:pt>
                <c:pt idx="18">
                  <c:v>4.16</c:v>
                </c:pt>
                <c:pt idx="19">
                  <c:v>4.68</c:v>
                </c:pt>
                <c:pt idx="20">
                  <c:v>5.2</c:v>
                </c:pt>
              </c:numCache>
            </c:numRef>
          </c:xVal>
          <c:yVal>
            <c:numRef>
              <c:f>Лист1!$T$2:$T$22</c:f>
              <c:numCache>
                <c:formatCode>General</c:formatCode>
                <c:ptCount val="21"/>
                <c:pt idx="0">
                  <c:v>26.040000000000003</c:v>
                </c:pt>
                <c:pt idx="1">
                  <c:v>20.902399999999997</c:v>
                </c:pt>
                <c:pt idx="2">
                  <c:v>16.305600000000002</c:v>
                </c:pt>
                <c:pt idx="3">
                  <c:v>12.249600000000001</c:v>
                </c:pt>
                <c:pt idx="4">
                  <c:v>8.7344000000000008</c:v>
                </c:pt>
                <c:pt idx="5">
                  <c:v>5.7600000000000007</c:v>
                </c:pt>
                <c:pt idx="6">
                  <c:v>3.3264000000000005</c:v>
                </c:pt>
                <c:pt idx="7">
                  <c:v>1.4336000000000002</c:v>
                </c:pt>
                <c:pt idx="8">
                  <c:v>8.1600000000000117E-2</c:v>
                </c:pt>
                <c:pt idx="9">
                  <c:v>-0.72960000000000003</c:v>
                </c:pt>
                <c:pt idx="10">
                  <c:v>-1</c:v>
                </c:pt>
                <c:pt idx="11">
                  <c:v>-0.72960000000000003</c:v>
                </c:pt>
                <c:pt idx="12">
                  <c:v>8.1600000000000117E-2</c:v>
                </c:pt>
                <c:pt idx="13">
                  <c:v>1.4336000000000002</c:v>
                </c:pt>
                <c:pt idx="14">
                  <c:v>3.3264000000000005</c:v>
                </c:pt>
                <c:pt idx="15">
                  <c:v>5.7600000000000007</c:v>
                </c:pt>
                <c:pt idx="16">
                  <c:v>8.7344000000000008</c:v>
                </c:pt>
                <c:pt idx="17">
                  <c:v>12.249600000000001</c:v>
                </c:pt>
                <c:pt idx="18">
                  <c:v>16.305600000000002</c:v>
                </c:pt>
                <c:pt idx="19">
                  <c:v>20.902399999999997</c:v>
                </c:pt>
                <c:pt idx="20">
                  <c:v>26.040000000000003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5222400"/>
        <c:axId val="-1545227840"/>
      </c:scatterChart>
      <c:valAx>
        <c:axId val="-154522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45227840"/>
        <c:crosses val="autoZero"/>
        <c:crossBetween val="midCat"/>
      </c:valAx>
      <c:valAx>
        <c:axId val="-154522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4522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1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j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6153566064357563E-2"/>
          <c:y val="0.21320209973753282"/>
          <c:w val="0.89914508518805092"/>
          <c:h val="0.746129721073001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Лист1!$G$49</c:f>
              <c:strCache>
                <c:ptCount val="1"/>
                <c:pt idx="0">
                  <c:v> у = х² - 1, [-4; -2]</c:v>
                </c:pt>
              </c:strCache>
            </c:strRef>
          </c:tx>
          <c:spPr>
            <a:ln w="25400" cap="flat" cmpd="sng" algn="ctr">
              <a:solidFill>
                <a:schemeClr val="accent5">
                  <a:lumMod val="60000"/>
                  <a:lumOff val="40000"/>
                </a:schemeClr>
              </a:solidFill>
              <a:round/>
              <a:headEnd w="sm" len="sm"/>
              <a:tailEnd type="none"/>
            </a:ln>
            <a:effectLst/>
          </c:spPr>
          <c:marker>
            <c:symbol val="none"/>
          </c:marker>
          <c:xVal>
            <c:numRef>
              <c:f>Лист1!$F$50:$F$70</c:f>
              <c:numCache>
                <c:formatCode>General</c:formatCode>
                <c:ptCount val="2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-3.6999999999999997</c:v>
                </c:pt>
                <c:pt idx="4">
                  <c:v>-3.5999999999999996</c:v>
                </c:pt>
                <c:pt idx="5">
                  <c:v>-3.4999999999999996</c:v>
                </c:pt>
                <c:pt idx="6">
                  <c:v>-3.3999999999999995</c:v>
                </c:pt>
                <c:pt idx="7">
                  <c:v>-3.2999999999999994</c:v>
                </c:pt>
                <c:pt idx="8">
                  <c:v>-3.1999999999999993</c:v>
                </c:pt>
                <c:pt idx="9">
                  <c:v>-3.0999999999999992</c:v>
                </c:pt>
                <c:pt idx="10">
                  <c:v>-2.9999999999999991</c:v>
                </c:pt>
                <c:pt idx="11">
                  <c:v>-2.899999999999999</c:v>
                </c:pt>
                <c:pt idx="12">
                  <c:v>-2.7999999999999989</c:v>
                </c:pt>
                <c:pt idx="13">
                  <c:v>-2.6999999999999988</c:v>
                </c:pt>
                <c:pt idx="14">
                  <c:v>-2.5999999999999988</c:v>
                </c:pt>
                <c:pt idx="15">
                  <c:v>-2.4999999999999987</c:v>
                </c:pt>
                <c:pt idx="16">
                  <c:v>-2.3999999999999986</c:v>
                </c:pt>
                <c:pt idx="17">
                  <c:v>-2.2999999999999985</c:v>
                </c:pt>
                <c:pt idx="18">
                  <c:v>-2.1999999999999984</c:v>
                </c:pt>
                <c:pt idx="19">
                  <c:v>-2.0999999999999983</c:v>
                </c:pt>
                <c:pt idx="20">
                  <c:v>-1.9999999999999982</c:v>
                </c:pt>
              </c:numCache>
            </c:numRef>
          </c:xVal>
          <c:yVal>
            <c:numRef>
              <c:f>Лист1!$G$50:$G$70</c:f>
              <c:numCache>
                <c:formatCode>General</c:formatCode>
                <c:ptCount val="21"/>
                <c:pt idx="0">
                  <c:v>15</c:v>
                </c:pt>
                <c:pt idx="1">
                  <c:v>14.209999999999999</c:v>
                </c:pt>
                <c:pt idx="2">
                  <c:v>13.44</c:v>
                </c:pt>
                <c:pt idx="3">
                  <c:v>12.689999999999998</c:v>
                </c:pt>
                <c:pt idx="4">
                  <c:v>11.959999999999997</c:v>
                </c:pt>
                <c:pt idx="5">
                  <c:v>11.249999999999996</c:v>
                </c:pt>
                <c:pt idx="6">
                  <c:v>10.559999999999997</c:v>
                </c:pt>
                <c:pt idx="7">
                  <c:v>9.8899999999999952</c:v>
                </c:pt>
                <c:pt idx="8">
                  <c:v>9.2399999999999949</c:v>
                </c:pt>
                <c:pt idx="9">
                  <c:v>8.6099999999999959</c:v>
                </c:pt>
                <c:pt idx="10">
                  <c:v>7.9999999999999947</c:v>
                </c:pt>
                <c:pt idx="11">
                  <c:v>7.4099999999999948</c:v>
                </c:pt>
                <c:pt idx="12">
                  <c:v>6.8399999999999936</c:v>
                </c:pt>
                <c:pt idx="13">
                  <c:v>6.2899999999999938</c:v>
                </c:pt>
                <c:pt idx="14">
                  <c:v>5.7599999999999936</c:v>
                </c:pt>
                <c:pt idx="15">
                  <c:v>5.2499999999999929</c:v>
                </c:pt>
                <c:pt idx="16">
                  <c:v>4.7599999999999936</c:v>
                </c:pt>
                <c:pt idx="17">
                  <c:v>4.2899999999999929</c:v>
                </c:pt>
                <c:pt idx="18">
                  <c:v>3.8399999999999928</c:v>
                </c:pt>
                <c:pt idx="19">
                  <c:v>3.409999999999993</c:v>
                </c:pt>
                <c:pt idx="20">
                  <c:v>2.9999999999999929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5227296"/>
        <c:axId val="-1545226208"/>
      </c:scatterChart>
      <c:valAx>
        <c:axId val="-154522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45226208"/>
        <c:crosses val="autoZero"/>
        <c:crossBetween val="midCat"/>
      </c:valAx>
      <c:valAx>
        <c:axId val="-15452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45227296"/>
        <c:crosses val="autoZero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26" fmlaLink="$A$40" max="30000" min="1" page="10" val="780"/>
</file>

<file path=xl/ctrlProps/ctrlProp2.xml><?xml version="1.0" encoding="utf-8"?>
<formControlPr xmlns="http://schemas.microsoft.com/office/spreadsheetml/2009/9/main" objectType="Radio" checked="Checked" firstButton="1" fmlaLink="$B$40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4</xdr:row>
      <xdr:rowOff>22860</xdr:rowOff>
    </xdr:from>
    <xdr:to>
      <xdr:col>14</xdr:col>
      <xdr:colOff>7620</xdr:colOff>
      <xdr:row>25</xdr:row>
      <xdr:rowOff>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38100</xdr:colOff>
          <xdr:row>4</xdr:row>
          <xdr:rowOff>22860</xdr:rowOff>
        </xdr:from>
        <xdr:to>
          <xdr:col>17</xdr:col>
          <xdr:colOff>746760</xdr:colOff>
          <xdr:row>25</xdr:row>
          <xdr:rowOff>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38100</xdr:colOff>
          <xdr:row>4</xdr:row>
          <xdr:rowOff>45720</xdr:rowOff>
        </xdr:from>
        <xdr:to>
          <xdr:col>15</xdr:col>
          <xdr:colOff>784860</xdr:colOff>
          <xdr:row>6</xdr:row>
          <xdr:rowOff>30480</xdr:rowOff>
        </xdr:to>
        <xdr:sp macro="" textlink="">
          <xdr:nvSpPr>
            <xdr:cNvPr id="1039" name="Option Button 15" descr="f(x)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25400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 = f(x)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38100</xdr:colOff>
          <xdr:row>6</xdr:row>
          <xdr:rowOff>38100</xdr:rowOff>
        </xdr:from>
        <xdr:to>
          <xdr:col>15</xdr:col>
          <xdr:colOff>784860</xdr:colOff>
          <xdr:row>8</xdr:row>
          <xdr:rowOff>182880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25400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 = f(-x)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38100</xdr:colOff>
          <xdr:row>9</xdr:row>
          <xdr:rowOff>15240</xdr:rowOff>
        </xdr:from>
        <xdr:to>
          <xdr:col>15</xdr:col>
          <xdr:colOff>784860</xdr:colOff>
          <xdr:row>12</xdr:row>
          <xdr:rowOff>121920</xdr:rowOff>
        </xdr:to>
        <xdr:sp macro="" textlink="">
          <xdr:nvSpPr>
            <xdr:cNvPr id="1041" name="Option Button 17" descr="f(x)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25400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 = -f(x)</a:t>
              </a:r>
            </a:p>
          </xdr:txBody>
        </xdr:sp>
        <xdr:clientData/>
      </xdr:twoCellAnchor>
    </mc:Choice>
    <mc:Fallback/>
  </mc:AlternateContent>
  <xdr:twoCellAnchor>
    <xdr:from>
      <xdr:col>21</xdr:col>
      <xdr:colOff>30480</xdr:colOff>
      <xdr:row>12</xdr:row>
      <xdr:rowOff>22860</xdr:rowOff>
    </xdr:from>
    <xdr:to>
      <xdr:col>24</xdr:col>
      <xdr:colOff>655320</xdr:colOff>
      <xdr:row>24</xdr:row>
      <xdr:rowOff>182880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M70"/>
  <sheetViews>
    <sheetView tabSelected="1" zoomScaleNormal="100" workbookViewId="0">
      <selection activeCell="V7" sqref="V7:Y7"/>
    </sheetView>
  </sheetViews>
  <sheetFormatPr defaultRowHeight="14.4"/>
  <cols>
    <col min="1" max="2" width="9.77734375" style="1" customWidth="1"/>
    <col min="3" max="3" width="18.77734375" style="1" customWidth="1"/>
    <col min="4" max="4" width="0.44140625" style="1" customWidth="1"/>
    <col min="5" max="7" width="4.77734375" style="1" customWidth="1"/>
    <col min="8" max="14" width="3.77734375" style="1" customWidth="1"/>
    <col min="15" max="15" width="0.44140625" style="1" customWidth="1"/>
    <col min="16" max="16" width="11.77734375" style="23" customWidth="1"/>
    <col min="17" max="17" width="0.21875" style="1" customWidth="1"/>
    <col min="18" max="18" width="11.77734375" style="23" customWidth="1"/>
    <col min="19" max="20" width="0.109375" style="31" customWidth="1"/>
    <col min="21" max="21" width="0.44140625" style="1" customWidth="1"/>
    <col min="22" max="23" width="9.77734375" style="1" customWidth="1"/>
    <col min="24" max="25" width="8.77734375" style="1" customWidth="1"/>
    <col min="26" max="26" width="0.21875" style="58" customWidth="1"/>
    <col min="27" max="32" width="0.21875" style="43" customWidth="1"/>
    <col min="33" max="35" width="0.21875" style="40" customWidth="1"/>
    <col min="36" max="39" width="0.21875" style="43" customWidth="1"/>
    <col min="40" max="40" width="0.21875" style="1" customWidth="1"/>
    <col min="41" max="16384" width="8.88671875" style="1"/>
  </cols>
  <sheetData>
    <row r="1" spans="1:39" ht="16.05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9"/>
      <c r="P1" s="76" t="s">
        <v>31</v>
      </c>
      <c r="Q1" s="9"/>
      <c r="R1" s="84" t="s">
        <v>30</v>
      </c>
      <c r="S1" s="29" t="s">
        <v>12</v>
      </c>
      <c r="T1" s="41" t="str">
        <f>CONCATENATE(" у = ",IF(C9=0,CONCATENATE(IF(B5=1,"",IF(B5=-1,"-",B5)),"х",D28,IF(C11=0,"",IF(C11&gt;0,CONCATENATE(" + ",C11),CONCATENATE(" - ",C11*-1)))),CONCATENATE(IF(B5=1,"",IF(B5=-1,"-",B5)),"(х", IF(C9&lt;0, CONCATENATE(" + ",C9*-1,")",D28), CONCATENATE(" - ",C9,")",D28)),IF(C11=0,"",IF(C11&gt;0,CONCATENATE(" + ",C11),CONCATENATE(" - ",C11*-1))))))</f>
        <v xml:space="preserve"> у = х² - 1</v>
      </c>
      <c r="U1" s="40"/>
      <c r="V1" s="75" t="s">
        <v>32</v>
      </c>
      <c r="W1" s="75"/>
      <c r="X1" s="75"/>
      <c r="Y1" s="75"/>
      <c r="Z1" s="44"/>
      <c r="AA1" s="72" t="s">
        <v>46</v>
      </c>
      <c r="AB1" s="72"/>
      <c r="AC1" s="72"/>
      <c r="AD1" s="72"/>
      <c r="AE1" s="72"/>
      <c r="AF1" s="72"/>
      <c r="AH1" s="61" t="s">
        <v>45</v>
      </c>
      <c r="AI1" s="62"/>
      <c r="AJ1" s="62"/>
      <c r="AK1" s="62"/>
      <c r="AL1" s="62"/>
      <c r="AM1" s="62"/>
    </row>
    <row r="2" spans="1:39" ht="16.05" customHeight="1">
      <c r="A2" s="21"/>
      <c r="B2" s="21"/>
      <c r="C2" s="21"/>
      <c r="D2" s="21"/>
      <c r="E2" s="86" t="s">
        <v>1</v>
      </c>
      <c r="F2" s="87"/>
      <c r="G2" s="87"/>
      <c r="H2" s="87"/>
      <c r="I2" s="87"/>
      <c r="J2" s="87"/>
      <c r="K2" s="21"/>
      <c r="L2" s="21"/>
      <c r="M2" s="21"/>
      <c r="N2" s="21"/>
      <c r="O2" s="9"/>
      <c r="P2" s="76"/>
      <c r="Q2" s="9"/>
      <c r="R2" s="84"/>
      <c r="S2" s="29">
        <f>IF(B40=2,($C$9-($A$40/1500)*10)*-1+C9*2,$C$9-($A$40/1500)*10)</f>
        <v>-5.2</v>
      </c>
      <c r="T2" s="30">
        <f>IF($B$40=3,($B$5*(S2^2)+$B$6*S2+$B$7)*-1,$B$5*(S2^2)+$B$6*S2+$B$7)</f>
        <v>26.040000000000003</v>
      </c>
      <c r="U2" s="23"/>
      <c r="V2" s="75"/>
      <c r="W2" s="75"/>
      <c r="X2" s="75"/>
      <c r="Y2" s="75"/>
      <c r="Z2" s="44"/>
      <c r="AA2" s="72" t="s">
        <v>39</v>
      </c>
      <c r="AB2" s="61" t="s">
        <v>49</v>
      </c>
      <c r="AC2" s="61" t="s">
        <v>41</v>
      </c>
      <c r="AD2" s="61" t="s">
        <v>42</v>
      </c>
      <c r="AE2" s="61" t="s">
        <v>50</v>
      </c>
      <c r="AF2" s="61" t="s">
        <v>44</v>
      </c>
      <c r="AG2" s="45"/>
      <c r="AH2" s="59" t="s">
        <v>47</v>
      </c>
      <c r="AI2" s="59" t="s">
        <v>40</v>
      </c>
      <c r="AJ2" s="59" t="s">
        <v>41</v>
      </c>
      <c r="AK2" s="59" t="s">
        <v>51</v>
      </c>
      <c r="AL2" s="59" t="s">
        <v>43</v>
      </c>
      <c r="AM2" s="59" t="s">
        <v>44</v>
      </c>
    </row>
    <row r="3" spans="1:39" ht="2.4" customHeight="1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9"/>
      <c r="P3" s="76"/>
      <c r="Q3" s="9"/>
      <c r="R3" s="84"/>
      <c r="S3" s="29">
        <f>IF(B40=2,($C$9-($A$40/1500)*9)*-1+C9*2,$C$9-($A$40/1500)*9)</f>
        <v>-4.68</v>
      </c>
      <c r="T3" s="30">
        <f t="shared" ref="T3:T11" si="0">IF($B$40=3,($B$5*(S3^2)+$B$6*S3+$B$7)*-1,$B$5*(S3^2)+$B$6*S3+$B$7)</f>
        <v>20.902399999999997</v>
      </c>
      <c r="U3" s="80"/>
      <c r="V3" s="80"/>
      <c r="W3" s="80"/>
      <c r="X3" s="80"/>
      <c r="Y3" s="80"/>
      <c r="Z3" s="46"/>
      <c r="AA3" s="72"/>
      <c r="AB3" s="61"/>
      <c r="AC3" s="61"/>
      <c r="AD3" s="61"/>
      <c r="AE3" s="61"/>
      <c r="AF3" s="61"/>
      <c r="AG3" s="45"/>
      <c r="AH3" s="59"/>
      <c r="AI3" s="59"/>
      <c r="AJ3" s="59"/>
      <c r="AK3" s="59"/>
      <c r="AL3" s="59"/>
      <c r="AM3" s="59"/>
    </row>
    <row r="4" spans="1:39" ht="16.05" customHeight="1" thickBot="1">
      <c r="A4" s="81" t="s">
        <v>23</v>
      </c>
      <c r="B4" s="81"/>
      <c r="C4" s="81"/>
      <c r="D4" s="10"/>
      <c r="E4" s="74" t="s">
        <v>26</v>
      </c>
      <c r="F4" s="74"/>
      <c r="G4" s="74"/>
      <c r="H4" s="88" t="str">
        <f>IF(B5=0,"а ≠ 0!!!",CONCATENATE(C37,C38,C39))</f>
        <v>y = x²  - 1</v>
      </c>
      <c r="I4" s="88"/>
      <c r="J4" s="88"/>
      <c r="K4" s="88"/>
      <c r="L4" s="88"/>
      <c r="M4" s="88"/>
      <c r="N4" s="88"/>
      <c r="O4" s="9"/>
      <c r="P4" s="76"/>
      <c r="Q4" s="9"/>
      <c r="R4" s="84"/>
      <c r="S4" s="29">
        <f>IF(B40=2,($C$9-($A$40/1500)*8)*-1+C9*2,$C$9-($A$40/1500)*8)</f>
        <v>-4.16</v>
      </c>
      <c r="T4" s="30">
        <f t="shared" si="0"/>
        <v>16.305600000000002</v>
      </c>
      <c r="U4" s="23"/>
      <c r="V4" s="77" t="s">
        <v>48</v>
      </c>
      <c r="W4" s="78"/>
      <c r="X4" s="78"/>
      <c r="Y4" s="79"/>
      <c r="Z4" s="47"/>
      <c r="AA4" s="48">
        <f>IF((B5*(X5^2)+B6*X5+B7)*(B5*(C9^2)+B6*C9+B7)&lt;=0,X5,"")</f>
        <v>-4</v>
      </c>
      <c r="AB4" s="49">
        <f>IF(AA4="","",C9)</f>
        <v>0</v>
      </c>
      <c r="AC4" s="49">
        <f>IF(AA4="","",(AA4+AB4)/2)</f>
        <v>-2</v>
      </c>
      <c r="AD4" s="49">
        <f>IF(AA4 = "","",IF(ABS(AB4-AA4)&lt;$X$9,"",$B$5*(AA4^2)+$B$6*AA4+$B$7))</f>
        <v>15</v>
      </c>
      <c r="AE4" s="49">
        <f>IF(AA4="","",IF(ABS(AB4-AA4)&lt;$X$9,"",$B$5*(AB4^2)+$B$6*AB4+$B$7))</f>
        <v>-1</v>
      </c>
      <c r="AF4" s="49">
        <f>IF(AA4="","",IF(ABS(AB4-AA4)&lt;$X$9,"",$B$5*(AC4^2)+$B$6*AC4+$B$7))</f>
        <v>3</v>
      </c>
      <c r="AG4" s="60"/>
      <c r="AH4" s="50">
        <f>IF((B5*(X6^2)+B6*X6+B7)*(B5*(C9^2)+B6*C9+B7)&lt;=0,C9,"")</f>
        <v>0</v>
      </c>
      <c r="AI4" s="50">
        <f>IF(AH4="","",X6)</f>
        <v>-2</v>
      </c>
      <c r="AJ4" s="50">
        <f>IF(AH4="","",(AH4+AI4)/2)</f>
        <v>-1</v>
      </c>
      <c r="AK4" s="50">
        <f>IF(AH4="","",IF(ABS(AI4-AH4)&lt;$X$9,"",$B$5*(AH4^2)+$B$6*AH4+$B$7))</f>
        <v>-1</v>
      </c>
      <c r="AL4" s="50">
        <f>IF(AH4="","",IF(ABS(AI4-AH4)&lt;$X$9,"",$B$5*(AI4^2)+$B$6*AI4+$B$7))</f>
        <v>3</v>
      </c>
      <c r="AM4" s="50">
        <f>IF(AH4="","",IF(ABS(AI4-AH4)&lt;$X$9,"",$B$5*(AJ4^2)+$B$6*AJ4+$B$7))</f>
        <v>0</v>
      </c>
    </row>
    <row r="5" spans="1:39" ht="16.05" customHeight="1" thickTop="1" thickBot="1">
      <c r="A5" s="38" t="s">
        <v>2</v>
      </c>
      <c r="B5" s="82">
        <v>1</v>
      </c>
      <c r="C5" s="82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9"/>
      <c r="P5" s="26"/>
      <c r="Q5" s="9"/>
      <c r="R5" s="24"/>
      <c r="S5" s="29">
        <f>IF(B40=2,($C$9-($A$40/1500)*7)*-1+C9*2,$C$9-($A$40/1500)*7)</f>
        <v>-3.64</v>
      </c>
      <c r="T5" s="30">
        <f t="shared" si="0"/>
        <v>12.249600000000001</v>
      </c>
      <c r="U5" s="23"/>
      <c r="V5" s="90" t="s">
        <v>35</v>
      </c>
      <c r="W5" s="90"/>
      <c r="X5" s="91">
        <v>-4</v>
      </c>
      <c r="Y5" s="91"/>
      <c r="Z5" s="47"/>
      <c r="AA5" s="48">
        <f>IF(AD4="","",IF(AE4*AF4&lt;=0,AC4,AA4))</f>
        <v>-2</v>
      </c>
      <c r="AB5" s="49">
        <f>IF(AD4="","",IF(AE4*AF4&gt;0,AC4,AB4))</f>
        <v>0</v>
      </c>
      <c r="AC5" s="49">
        <f>IF(AD4="","",(AA5+AB5)/2)</f>
        <v>-1</v>
      </c>
      <c r="AD5" s="49">
        <f>IF(AD4 = "","",IF(ABS(AB5-AA5)&lt;$X$9,"",$B$5*(AA5^2)+$B$6*AA5+$B$7))</f>
        <v>3</v>
      </c>
      <c r="AE5" s="49">
        <f>IF(AD5 = "","",IF(ABS(AB5-AA5)&lt;$X$9,"",$B$5*(AB5^2)+$B$6*AB5+$B$7))</f>
        <v>-1</v>
      </c>
      <c r="AF5" s="49">
        <f>IF(AD5= "","",IF(ABS(AB5-AA5)&lt;$X$9,"",$B$5*(AC5^2)+$B$6*AC5+$B$7))</f>
        <v>0</v>
      </c>
      <c r="AG5" s="60"/>
      <c r="AH5" s="50">
        <f>IF(AK4="","",IF(AL4*AM4&lt;=0,AJ4,AH4))</f>
        <v>-1</v>
      </c>
      <c r="AI5" s="50">
        <f>IF(AK4="","",IF(AL4*AM4&gt;0,AJ4,AI4))</f>
        <v>-2</v>
      </c>
      <c r="AJ5" s="50">
        <f>IF(AK4="","",(AH5+AI5)/2)</f>
        <v>-1.5</v>
      </c>
      <c r="AK5" s="50">
        <f>IF(AK4 = "","",IF(ABS(AI5-AH5)&lt;$X$9,"",$B$5*(AH5^2)+$B$6*AH5+$B$7))</f>
        <v>0</v>
      </c>
      <c r="AL5" s="50">
        <f>IF(AK5 = "","",IF(ABS(AI5-AH5)&lt;$X$9,"",$B$5*(AI5^2)+$B$6*AI5+$B$7))</f>
        <v>3</v>
      </c>
      <c r="AM5" s="50">
        <f>IF(AK5= "","",IF(ABS(AI5-AH5)&lt;$X$9,"",$B$5*(AJ5^2)+$B$6*AJ5+$B$7))</f>
        <v>1.25</v>
      </c>
    </row>
    <row r="6" spans="1:39" ht="16.05" customHeight="1" thickTop="1" thickBot="1">
      <c r="A6" s="38" t="s">
        <v>3</v>
      </c>
      <c r="B6" s="83">
        <v>0</v>
      </c>
      <c r="C6" s="83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9"/>
      <c r="P6" s="26"/>
      <c r="Q6" s="9"/>
      <c r="R6" s="24"/>
      <c r="S6" s="29">
        <f>IF(B40=2,($C$9-($A$40/1500)*6)*-1+C9*2,$C$9-($A$40/1500)*6)</f>
        <v>-3.12</v>
      </c>
      <c r="T6" s="30">
        <f t="shared" si="0"/>
        <v>8.7344000000000008</v>
      </c>
      <c r="U6" s="23"/>
      <c r="V6" s="92" t="s">
        <v>36</v>
      </c>
      <c r="W6" s="92"/>
      <c r="X6" s="65">
        <v>-2</v>
      </c>
      <c r="Y6" s="65"/>
      <c r="Z6" s="47"/>
      <c r="AA6" s="48">
        <f>IF(AD5="","",IF(AE5*AF5&lt;=0,AC5,AA5))</f>
        <v>-1</v>
      </c>
      <c r="AB6" s="49">
        <f>IF(AD5="","",IF(AE5*AF5&gt;0,AC5,AB5))</f>
        <v>0</v>
      </c>
      <c r="AC6" s="49">
        <f>IF(AD5="","",(AA6+AB6)/2)</f>
        <v>-0.5</v>
      </c>
      <c r="AD6" s="49">
        <f>IF(AD5 = "","",IF(ABS(AB6-AA6)&lt;$X$9,"",$B$5*(AA6^2)+$B$6*AA6+$B$7))</f>
        <v>0</v>
      </c>
      <c r="AE6" s="49">
        <f>IF(AD6 = "","",IF(ABS(AB6-AA6)&lt;$X$9,"",$B$5*(AB6^2)+$B$6*AB6+$B$7))</f>
        <v>-1</v>
      </c>
      <c r="AF6" s="49">
        <f>IF(AD6= "","",IF(ABS(AB6-AA6)&lt;$X$9,"",$B$5*(AC6^2)+$B$6*AC6+$B$7))</f>
        <v>-0.75</v>
      </c>
      <c r="AG6" s="60"/>
      <c r="AH6" s="50">
        <f>IF(AK5="","",IF(AL5*AM5&lt;=0,AJ5,AH5))</f>
        <v>-1</v>
      </c>
      <c r="AI6" s="50">
        <f>IF(AK5="","",IF(AL5*AM5&gt;0,AJ5,AI5))</f>
        <v>-1.5</v>
      </c>
      <c r="AJ6" s="50">
        <f>IF(AK5="","",(AH6+AI6)/2)</f>
        <v>-1.25</v>
      </c>
      <c r="AK6" s="50">
        <f>IF(AK5 = "","",IF(ABS(AI6-AH6)&lt;$X$9,"",$B$5*(AH6^2)+$B$6*AH6+$B$7))</f>
        <v>0</v>
      </c>
      <c r="AL6" s="50">
        <f>IF(AK6 = "","",IF(ABS(AI6-AH6)&lt;$X$9,"",$B$5*(AI6^2)+$B$6*AI6+$B$7))</f>
        <v>1.25</v>
      </c>
      <c r="AM6" s="50">
        <f>IF(AK6= "","",IF(ABS(AI6-AH6)&lt;$X$9,"",$B$5*(AJ6^2)+$B$6*AJ6+$B$7))</f>
        <v>0.5625</v>
      </c>
    </row>
    <row r="7" spans="1:39" ht="16.05" customHeight="1" thickTop="1">
      <c r="A7" s="37" t="s">
        <v>4</v>
      </c>
      <c r="B7" s="73">
        <v>-1</v>
      </c>
      <c r="C7" s="73"/>
      <c r="D7" s="11"/>
      <c r="E7" s="10"/>
      <c r="F7" s="10"/>
      <c r="G7" s="10"/>
      <c r="H7" s="10"/>
      <c r="I7" s="10"/>
      <c r="J7" s="10"/>
      <c r="K7" s="10"/>
      <c r="L7" s="10"/>
      <c r="M7" s="10"/>
      <c r="N7" s="10"/>
      <c r="O7" s="9"/>
      <c r="P7" s="26"/>
      <c r="Q7" s="9"/>
      <c r="R7" s="24"/>
      <c r="S7" s="29">
        <f>IF(B40=2,($C$9-($A$40/1500)*5)*-1+C9*2,$C$9-($A$40/1500)*5)</f>
        <v>-2.6</v>
      </c>
      <c r="T7" s="30">
        <f t="shared" si="0"/>
        <v>5.7600000000000007</v>
      </c>
      <c r="U7" s="23"/>
      <c r="V7" s="66" t="s">
        <v>37</v>
      </c>
      <c r="W7" s="67"/>
      <c r="X7" s="67"/>
      <c r="Y7" s="68"/>
      <c r="Z7" s="51"/>
      <c r="AA7" s="64">
        <f>IF(AD6="","",IF(AE6*AF6&lt;=0,AC6,AA6))</f>
        <v>-1</v>
      </c>
      <c r="AB7" s="63">
        <f>IF(AD6="","",IF(AE6*AF6&gt;0,AC6,AB6))</f>
        <v>-0.5</v>
      </c>
      <c r="AC7" s="63">
        <f>IF(AD6="","",(AA7+AB7)/2)</f>
        <v>-0.75</v>
      </c>
      <c r="AD7" s="63">
        <f>IF(AD6 = "","",IF(ABS(AB7-AA7)&lt;$X$9,"",$B$5*(AA7^2)+$B$6*AA7+$B$7))</f>
        <v>0</v>
      </c>
      <c r="AE7" s="63">
        <f>IF(AD7 = "","",IF(ABS(AB7-AA7)&lt;$X$9,"",$B$5*(AB7^2)+$B$6*AB7+$B$7))</f>
        <v>-0.75</v>
      </c>
      <c r="AF7" s="63">
        <f>IF(AD7= "","",IF(ABS(AB7-AA7)&lt;$X$9,"",$B$5*(AC7^2)+$B$6*AC7+$B$7))</f>
        <v>-0.4375</v>
      </c>
      <c r="AG7" s="60"/>
      <c r="AH7" s="59">
        <f>IF(AK6="","",IF(AL6*AM6&lt;=0,AJ6,AH6))</f>
        <v>-1</v>
      </c>
      <c r="AI7" s="59">
        <f>IF(AK6="","",IF(AL6*AM6&gt;0,AJ6,AI6))</f>
        <v>-1.25</v>
      </c>
      <c r="AJ7" s="59">
        <f>IF(AK6="","",(AH7+AI7)/2)</f>
        <v>-1.125</v>
      </c>
      <c r="AK7" s="59">
        <f>IF(AK6 = "","",IF(ABS(AI7-AH7)&lt;$X$9,"",$B$5*(AH7^2)+$B$6*AH7+$B$7))</f>
        <v>0</v>
      </c>
      <c r="AL7" s="59">
        <f>IF(AK7 = "","",IF(ABS(AI7-AH7)&lt;$X$9,"",$B$5*(AI7^2)+$B$6*AI7+$B$7))</f>
        <v>0.5625</v>
      </c>
      <c r="AM7" s="59">
        <f>IF(AK7= "","",IF(ABS(AI7-AH7)&lt;$X$9,"",$B$5*(AJ7^2)+$B$6*AJ7+$B$7))</f>
        <v>0.265625</v>
      </c>
    </row>
    <row r="8" spans="1:39" ht="3" customHeight="1">
      <c r="A8" s="10"/>
      <c r="B8" s="10"/>
      <c r="C8" s="10">
        <v>1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9"/>
      <c r="P8" s="26"/>
      <c r="Q8" s="9"/>
      <c r="R8" s="24"/>
      <c r="S8" s="29">
        <f>IF(B40=2,($C$9-($A$40/1500)*4)*-1+C9*2,$C$9-($A$40/1500)*4)</f>
        <v>-2.08</v>
      </c>
      <c r="T8" s="30">
        <f t="shared" si="0"/>
        <v>3.3264000000000005</v>
      </c>
      <c r="U8" s="23"/>
      <c r="V8" s="33"/>
      <c r="W8" s="33"/>
      <c r="X8" s="33"/>
      <c r="Y8" s="33"/>
      <c r="Z8" s="51"/>
      <c r="AA8" s="64"/>
      <c r="AB8" s="63"/>
      <c r="AC8" s="63"/>
      <c r="AD8" s="63"/>
      <c r="AE8" s="63"/>
      <c r="AF8" s="63"/>
      <c r="AG8" s="60"/>
      <c r="AH8" s="59"/>
      <c r="AI8" s="59"/>
      <c r="AJ8" s="59"/>
      <c r="AK8" s="59"/>
      <c r="AL8" s="59"/>
      <c r="AM8" s="59"/>
    </row>
    <row r="9" spans="1:39" ht="16.05" customHeight="1">
      <c r="A9" s="74" t="s">
        <v>8</v>
      </c>
      <c r="B9" s="74"/>
      <c r="C9" s="12">
        <f>INT((-B6/(2*B5))*100)/100</f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9"/>
      <c r="P9" s="26"/>
      <c r="Q9" s="9"/>
      <c r="R9" s="24"/>
      <c r="S9" s="29">
        <f>IF(B40=2,($C$9-($A$40/1500)*3)*-1+C9*2,$C$9-($A$40/1500)*3)</f>
        <v>-1.56</v>
      </c>
      <c r="T9" s="30">
        <f t="shared" si="0"/>
        <v>1.4336000000000002</v>
      </c>
      <c r="U9" s="23"/>
      <c r="V9" s="69" t="s">
        <v>38</v>
      </c>
      <c r="W9" s="69"/>
      <c r="X9" s="70">
        <v>1E-3</v>
      </c>
      <c r="Y9" s="70"/>
      <c r="Z9" s="51"/>
      <c r="AA9" s="64">
        <f>IF(AD7="","",IF(AE7*AF7&lt;=0,AC7,AA7))</f>
        <v>-1</v>
      </c>
      <c r="AB9" s="63">
        <f>IF(AD7="","",IF(AE7*AF7&gt;0,AC7,AB7))</f>
        <v>-0.75</v>
      </c>
      <c r="AC9" s="63">
        <f>IF(AD7="","",(AA9+AB9)/2)</f>
        <v>-0.875</v>
      </c>
      <c r="AD9" s="63">
        <f>IF(AD7 = "","",IF(ABS(AB9-AA9)&lt;$X$9,"",$B$5*(AA9^2)+$B$6*AA9+$B$7))</f>
        <v>0</v>
      </c>
      <c r="AE9" s="63">
        <f t="shared" ref="AE9" si="1">IF(AD9 = "","",IF(ABS(AB9-AA9)&lt;$X$9,"",$B$5*(AB9^2)+$B$6*AB9+$B$7))</f>
        <v>-0.4375</v>
      </c>
      <c r="AF9" s="63">
        <f t="shared" ref="AF9" si="2">IF(AD9= "","",IF(ABS(AB9-AA9)&lt;$X$9,"",$B$5*(AC9^2)+$B$6*AC9+$B$7))</f>
        <v>-0.234375</v>
      </c>
      <c r="AG9" s="60"/>
      <c r="AH9" s="59">
        <f>IF(AK7="","",IF(AL7*AM7&lt;=0,AJ7,AH7))</f>
        <v>-1</v>
      </c>
      <c r="AI9" s="59">
        <f>IF(AK7="","",IF(AL7*AM7&gt;0,AJ7,AI7))</f>
        <v>-1.125</v>
      </c>
      <c r="AJ9" s="59">
        <f>IF(AK7="","",(AH9+AI9)/2)</f>
        <v>-1.0625</v>
      </c>
      <c r="AK9" s="59">
        <f>IF(AK7 = "","",IF(ABS(AI9-AH9)&lt;$X$9,"",$B$5*(AH9^2)+$B$6*AH9+$B$7))</f>
        <v>0</v>
      </c>
      <c r="AL9" s="59">
        <f>IF(AK9= "","",IF(ABS(AI9-AH9)&lt;$X$9,"",$B$5*(AI9^2)+$B$6*AI9+$B$7))</f>
        <v>0.265625</v>
      </c>
      <c r="AM9" s="59">
        <f t="shared" ref="AM9" si="3">IF(AK9= "","",IF(ABS(AI9-AH9)&lt;$X$9,"",$B$5*(AJ9^2)+$B$6*AJ9+$B$7))</f>
        <v>0.12890625</v>
      </c>
    </row>
    <row r="10" spans="1:39" ht="3" customHeight="1">
      <c r="A10" s="34"/>
      <c r="B10" s="34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9"/>
      <c r="P10" s="26"/>
      <c r="Q10" s="9"/>
      <c r="R10" s="24"/>
      <c r="S10" s="29">
        <f>IF(B40=2,($C$9-($A$40/1500)*2)*-1+C9*2,$C$9-($A$40/1500)*2)</f>
        <v>-1.04</v>
      </c>
      <c r="T10" s="30">
        <f t="shared" si="0"/>
        <v>8.1600000000000117E-2</v>
      </c>
      <c r="U10" s="23"/>
      <c r="V10" s="33"/>
      <c r="W10" s="33"/>
      <c r="X10" s="33"/>
      <c r="Y10" s="33"/>
      <c r="Z10" s="51"/>
      <c r="AA10" s="64"/>
      <c r="AB10" s="63"/>
      <c r="AC10" s="63"/>
      <c r="AD10" s="63"/>
      <c r="AE10" s="63"/>
      <c r="AF10" s="63"/>
      <c r="AG10" s="60"/>
      <c r="AH10" s="59"/>
      <c r="AI10" s="59"/>
      <c r="AJ10" s="59"/>
      <c r="AK10" s="59"/>
      <c r="AL10" s="59"/>
      <c r="AM10" s="59"/>
    </row>
    <row r="11" spans="1:39" ht="16.05" customHeight="1">
      <c r="A11" s="74" t="s">
        <v>7</v>
      </c>
      <c r="B11" s="74"/>
      <c r="C11" s="12">
        <f>INT(((B5*(C9^2))+(B6*C9)+B7)*100)/100</f>
        <v>-1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9"/>
      <c r="P11" s="26"/>
      <c r="Q11" s="9"/>
      <c r="R11" s="24"/>
      <c r="S11" s="29">
        <f>IF(B40=2,($C$9-($A$40/1500)*1)*-1+C9*2,$C$9-($A$40/1500)*1)</f>
        <v>-0.52</v>
      </c>
      <c r="T11" s="30">
        <f t="shared" si="0"/>
        <v>-0.72960000000000003</v>
      </c>
      <c r="U11" s="23"/>
      <c r="V11" s="69" t="s">
        <v>33</v>
      </c>
      <c r="W11" s="69"/>
      <c r="X11" s="71" t="str">
        <f>IF(AA48=AH48,AD48,IF(AND(AA48="",NOT(AH48="")),AH48,IF(AND(AH48="",NOT(AA48="")),AA48,CONCATENATE(AA48,"; ",AH48))))</f>
        <v>ø</v>
      </c>
      <c r="Y11" s="71"/>
      <c r="Z11" s="51"/>
      <c r="AA11" s="64">
        <f>IF(AD9="","",IF(AE9*AF9&lt;=0,AC9,AA9))</f>
        <v>-1</v>
      </c>
      <c r="AB11" s="63">
        <f t="shared" ref="AB11" si="4">IF(AD9="","",IF(AE9*AF9&gt;0,AC9,AB9))</f>
        <v>-0.875</v>
      </c>
      <c r="AC11" s="63">
        <f t="shared" ref="AC11" si="5">IF(AD9="","",(AA11+AB11)/2)</f>
        <v>-0.9375</v>
      </c>
      <c r="AD11" s="63">
        <f t="shared" ref="AD11" si="6">IF(AD9 = "","",IF(ABS(AB11-AA11)&lt;$X$9,"",$B$5*(AA11^2)+$B$6*AA11+$B$7))</f>
        <v>0</v>
      </c>
      <c r="AE11" s="63">
        <f t="shared" ref="AE11" si="7">IF(AD11 = "","",IF(ABS(AB11-AA11)&lt;$X$9,"",$B$5*(AB11^2)+$B$6*AB11+$B$7))</f>
        <v>-0.234375</v>
      </c>
      <c r="AF11" s="63">
        <f t="shared" ref="AF11" si="8">IF(AD11= "","",IF(ABS(AB11-AA11)&lt;$X$9,"",$B$5*(AC11^2)+$B$6*AC11+$B$7))</f>
        <v>-0.12109375</v>
      </c>
      <c r="AG11" s="60"/>
      <c r="AH11" s="59">
        <f t="shared" ref="AH11" si="9">IF(AK9="","",IF(AL9*AM9&lt;=0,AJ9,AH9))</f>
        <v>-1</v>
      </c>
      <c r="AI11" s="59">
        <f t="shared" ref="AI11" si="10">IF(AK9="","",IF(AL9*AM9&gt;0,AJ9,AI9))</f>
        <v>-1.0625</v>
      </c>
      <c r="AJ11" s="59">
        <f t="shared" ref="AJ11" si="11">IF(AK9="","",(AH11+AI11)/2)</f>
        <v>-1.03125</v>
      </c>
      <c r="AK11" s="59">
        <f t="shared" ref="AK11" si="12">IF(AK9 = "","",IF(ABS(AI11-AH11)&lt;$X$9,"",$B$5*(AH11^2)+$B$6*AH11+$B$7))</f>
        <v>0</v>
      </c>
      <c r="AL11" s="59">
        <f t="shared" ref="AL11" si="13">IF(AK11= "","",IF(ABS(AI11-AH11)&lt;$X$9,"",$B$5*(AI11^2)+$B$6*AI11+$B$7))</f>
        <v>0.12890625</v>
      </c>
      <c r="AM11" s="59">
        <f t="shared" ref="AM11" si="14">IF(AK11= "","",IF(ABS(AI11-AH11)&lt;$X$9,"",$B$5*(AJ11^2)+$B$6*AJ11+$B$7))</f>
        <v>6.34765625E-2</v>
      </c>
    </row>
    <row r="12" spans="1:39" ht="3" customHeight="1">
      <c r="A12" s="34"/>
      <c r="B12" s="3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9"/>
      <c r="P12" s="26"/>
      <c r="Q12" s="9"/>
      <c r="R12" s="24"/>
      <c r="S12" s="29">
        <f>IF(B40=2,C9*-1+C9*2,C9)</f>
        <v>0</v>
      </c>
      <c r="T12" s="30">
        <f>IF($B$40=3,($B$5*(S12^2)+$B$6*S12+$B$7)*-1,$B$5*(S12^2)+$B$6*S12+$B$7)</f>
        <v>-1</v>
      </c>
      <c r="U12" s="23"/>
      <c r="V12" s="33"/>
      <c r="W12" s="33"/>
      <c r="X12" s="33"/>
      <c r="Y12" s="33"/>
      <c r="Z12" s="51"/>
      <c r="AA12" s="64"/>
      <c r="AB12" s="63"/>
      <c r="AC12" s="63"/>
      <c r="AD12" s="63"/>
      <c r="AE12" s="63"/>
      <c r="AF12" s="63"/>
      <c r="AG12" s="60"/>
      <c r="AH12" s="59"/>
      <c r="AI12" s="59"/>
      <c r="AJ12" s="59"/>
      <c r="AK12" s="59"/>
      <c r="AL12" s="59"/>
      <c r="AM12" s="59"/>
    </row>
    <row r="13" spans="1:39" ht="16.05" customHeight="1">
      <c r="A13" s="74" t="s">
        <v>5</v>
      </c>
      <c r="B13" s="74"/>
      <c r="C13" s="13" t="str">
        <f>IF(A28&gt;0,CONCATENATE("(",C36,"; 0)",";","(",C35,";"," 0)"),IF(A28=0,CONCATENATE("(",C35,"; 0)"),"НЕТ"))</f>
        <v>(-1; 0);(1; 0)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9"/>
      <c r="P13" s="26"/>
      <c r="Q13" s="9"/>
      <c r="R13" s="24"/>
      <c r="S13" s="29">
        <f>IF($B$40=2,($C$9+($A$40/1500)*1)*-1+C9*2,$C$9+($A$40/1500)*1)</f>
        <v>0.52</v>
      </c>
      <c r="T13" s="30">
        <f t="shared" ref="T13:T22" si="15">IF($B$40=3,($B$5*(S13^2)+$B$6*S13+$B$7)*-1,$B$5*(S13^2)+$B$6*S13+$B$7)</f>
        <v>-0.72960000000000003</v>
      </c>
      <c r="U13" s="23"/>
      <c r="V13" s="33"/>
      <c r="W13" s="33"/>
      <c r="X13" s="33"/>
      <c r="Y13" s="33"/>
      <c r="Z13" s="51"/>
      <c r="AA13" s="64">
        <f>IF(AD11="","",IF(AE11*AF11&lt;=0,AC11,AA11))</f>
        <v>-1</v>
      </c>
      <c r="AB13" s="63">
        <f t="shared" ref="AB13" si="16">IF(AD11="","",IF(AE11*AF11&gt;0,AC11,AB11))</f>
        <v>-0.9375</v>
      </c>
      <c r="AC13" s="63">
        <f t="shared" ref="AC13" si="17">IF(AD11="","",(AA13+AB13)/2)</f>
        <v>-0.96875</v>
      </c>
      <c r="AD13" s="63">
        <f t="shared" ref="AD13" si="18">IF(AD11 = "","",IF(ABS(AB13-AA13)&lt;$X$9,"",$B$5*(AA13^2)+$B$6*AA13+$B$7))</f>
        <v>0</v>
      </c>
      <c r="AE13" s="63">
        <f t="shared" ref="AE13" si="19">IF(AD13 = "","",IF(ABS(AB13-AA13)&lt;$X$9,"",$B$5*(AB13^2)+$B$6*AB13+$B$7))</f>
        <v>-0.12109375</v>
      </c>
      <c r="AF13" s="63">
        <f t="shared" ref="AF13" si="20">IF(AD13= "","",IF(ABS(AB13-AA13)&lt;$X$9,"",$B$5*(AC13^2)+$B$6*AC13+$B$7))</f>
        <v>-6.15234375E-2</v>
      </c>
      <c r="AG13" s="60"/>
      <c r="AH13" s="59">
        <f t="shared" ref="AH13" si="21">IF(AK11="","",IF(AL11*AM11&lt;=0,AJ11,AH11))</f>
        <v>-1</v>
      </c>
      <c r="AI13" s="59">
        <f t="shared" ref="AI13" si="22">IF(AK11="","",IF(AL11*AM11&gt;0,AJ11,AI11))</f>
        <v>-1.03125</v>
      </c>
      <c r="AJ13" s="59">
        <f t="shared" ref="AJ13" si="23">IF(AK11="","",(AH13+AI13)/2)</f>
        <v>-1.015625</v>
      </c>
      <c r="AK13" s="59">
        <f>IF(AK11 = "","",IF(ABS(AI13-AH13)&lt;$X$9,"",$B$5*(AH13^2)+$B$6*AH13+$B$7))</f>
        <v>0</v>
      </c>
      <c r="AL13" s="59">
        <f t="shared" ref="AL13" si="24">IF(AK13= "","",IF(ABS(AI13-AH13)&lt;$X$9,"",$B$5*(AI13^2)+$B$6*AI13+$B$7))</f>
        <v>6.34765625E-2</v>
      </c>
      <c r="AM13" s="59">
        <f t="shared" ref="AM13" si="25">IF(AK13= "","",IF(ABS(AI13-AH13)&lt;$X$9,"",$B$5*(AJ13^2)+$B$6*AJ13+$B$7))</f>
        <v>3.1494140625E-2</v>
      </c>
    </row>
    <row r="14" spans="1:39" ht="3" customHeight="1">
      <c r="A14" s="34"/>
      <c r="B14" s="34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9"/>
      <c r="P14" s="93"/>
      <c r="Q14" s="9"/>
      <c r="R14" s="24"/>
      <c r="S14" s="29">
        <f>IF($B$40=2,($C$9+($A$40/1500)*2)*-1+C9*2,$C$9+($A$40/1500)*2)</f>
        <v>1.04</v>
      </c>
      <c r="T14" s="30">
        <f t="shared" si="15"/>
        <v>8.1600000000000117E-2</v>
      </c>
      <c r="U14" s="23"/>
      <c r="V14" s="33"/>
      <c r="W14" s="33"/>
      <c r="X14" s="33"/>
      <c r="Y14" s="33"/>
      <c r="Z14" s="51"/>
      <c r="AA14" s="64"/>
      <c r="AB14" s="63"/>
      <c r="AC14" s="63"/>
      <c r="AD14" s="63"/>
      <c r="AE14" s="63"/>
      <c r="AF14" s="63"/>
      <c r="AG14" s="60"/>
      <c r="AH14" s="59"/>
      <c r="AI14" s="59"/>
      <c r="AJ14" s="59"/>
      <c r="AK14" s="59"/>
      <c r="AL14" s="59"/>
      <c r="AM14" s="59"/>
    </row>
    <row r="15" spans="1:39" ht="31.95" customHeight="1">
      <c r="A15" s="75" t="s">
        <v>6</v>
      </c>
      <c r="B15" s="75"/>
      <c r="C15" s="14" t="str">
        <f>IF(B5&gt;0, "Вверх", "Вниз")</f>
        <v>Вверх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9"/>
      <c r="P15" s="93"/>
      <c r="Q15" s="9"/>
      <c r="R15" s="24"/>
      <c r="S15" s="29">
        <f>IF($B$40=2,($C$9+($A$40/1500)*3)*-1+C9*2,$C$9+($A$40/1500)*3)</f>
        <v>1.56</v>
      </c>
      <c r="T15" s="30">
        <f t="shared" si="15"/>
        <v>1.4336000000000002</v>
      </c>
      <c r="U15" s="23"/>
      <c r="V15" s="33"/>
      <c r="W15" s="33"/>
      <c r="X15" s="33"/>
      <c r="Y15" s="33"/>
      <c r="Z15" s="51"/>
      <c r="AA15" s="64">
        <f>IF(AD13="","",IF(AE13*AF13&lt;=0,AC13,AA13))</f>
        <v>-1</v>
      </c>
      <c r="AB15" s="63">
        <f t="shared" ref="AB15" si="26">IF(AD13="","",IF(AE13*AF13&gt;0,AC13,AB13))</f>
        <v>-0.96875</v>
      </c>
      <c r="AC15" s="63">
        <f t="shared" ref="AC15" si="27">IF(AD13="","",(AA15+AB15)/2)</f>
        <v>-0.984375</v>
      </c>
      <c r="AD15" s="63">
        <f t="shared" ref="AD15" si="28">IF(AD13 = "","",IF(ABS(AB15-AA15)&lt;$X$9,"",$B$5*(AA15^2)+$B$6*AA15+$B$7))</f>
        <v>0</v>
      </c>
      <c r="AE15" s="63">
        <f t="shared" ref="AE15" si="29">IF(AD15 = "","",IF(ABS(AB15-AA15)&lt;$X$9,"",$B$5*(AB15^2)+$B$6*AB15+$B$7))</f>
        <v>-6.15234375E-2</v>
      </c>
      <c r="AF15" s="63">
        <f t="shared" ref="AF15" si="30">IF(AD15= "","",IF(ABS(AB15-AA15)&lt;$X$9,"",$B$5*(AC15^2)+$B$6*AC15+$B$7))</f>
        <v>-3.1005859375E-2</v>
      </c>
      <c r="AG15" s="60"/>
      <c r="AH15" s="59">
        <f t="shared" ref="AH15" si="31">IF(AK13="","",IF(AL13*AM13&lt;=0,AJ13,AH13))</f>
        <v>-1</v>
      </c>
      <c r="AI15" s="59">
        <f t="shared" ref="AI15" si="32">IF(AK13="","",IF(AL13*AM13&gt;0,AJ13,AI13))</f>
        <v>-1.015625</v>
      </c>
      <c r="AJ15" s="59">
        <f t="shared" ref="AJ15" si="33">IF(AK13="","",(AH15+AI15)/2)</f>
        <v>-1.0078125</v>
      </c>
      <c r="AK15" s="59">
        <f>IF(AK13 = "","",IF(ABS(AI15-AH15)&lt;$X$9,"",$B$5*(AH15^2)+$B$6*AH15+$B$7))</f>
        <v>0</v>
      </c>
      <c r="AL15" s="59">
        <f t="shared" ref="AL15" si="34">IF(AK15= "","",IF(ABS(AI15-AH15)&lt;$X$9,"",$B$5*(AI15^2)+$B$6*AI15+$B$7))</f>
        <v>3.1494140625E-2</v>
      </c>
      <c r="AM15" s="59">
        <f t="shared" ref="AM15" si="35">IF(AK15= "","",IF(ABS(AI15-AH15)&lt;$X$9,"",$B$5*(AJ15^2)+$B$6*AJ15+$B$7))</f>
        <v>1.568603515625E-2</v>
      </c>
    </row>
    <row r="16" spans="1:39" ht="3" customHeight="1">
      <c r="A16" s="34"/>
      <c r="B16" s="3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9"/>
      <c r="P16" s="93"/>
      <c r="Q16" s="9"/>
      <c r="R16" s="24"/>
      <c r="S16" s="29">
        <f>IF($B$40=2,($C$9+($A$40/1500)*4)*-1+C9*2,$C$9+($A$40/1500)*4)</f>
        <v>2.08</v>
      </c>
      <c r="T16" s="30">
        <f t="shared" si="15"/>
        <v>3.3264000000000005</v>
      </c>
      <c r="U16" s="23"/>
      <c r="V16" s="33"/>
      <c r="W16" s="33"/>
      <c r="X16" s="33"/>
      <c r="Y16" s="33"/>
      <c r="Z16" s="51"/>
      <c r="AA16" s="64"/>
      <c r="AB16" s="63"/>
      <c r="AC16" s="63"/>
      <c r="AD16" s="63"/>
      <c r="AE16" s="63"/>
      <c r="AF16" s="63"/>
      <c r="AG16" s="60"/>
      <c r="AH16" s="59"/>
      <c r="AI16" s="59"/>
      <c r="AJ16" s="59"/>
      <c r="AK16" s="59"/>
      <c r="AL16" s="59"/>
      <c r="AM16" s="59"/>
    </row>
    <row r="17" spans="1:39" ht="31.95" customHeight="1">
      <c r="A17" s="76" t="s">
        <v>27</v>
      </c>
      <c r="B17" s="76"/>
      <c r="C17" s="15" t="str">
        <f>IF(B5&gt;0,CONCATENATE("(",C9,";"," +",C27,")"),CONCATENATE("(",D27,C27,"; ",C9,")"))</f>
        <v>(0; +∞)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9"/>
      <c r="P17" s="93"/>
      <c r="Q17" s="9"/>
      <c r="R17" s="24"/>
      <c r="S17" s="29">
        <f>IF($B$40=2,($C$9+($A$40/1500)*5)*-1+C9*2,$C$9+($A$40/1500)*5)</f>
        <v>2.6</v>
      </c>
      <c r="T17" s="30">
        <f t="shared" si="15"/>
        <v>5.7600000000000007</v>
      </c>
      <c r="U17" s="23"/>
      <c r="V17" s="33"/>
      <c r="W17" s="33"/>
      <c r="X17" s="33"/>
      <c r="Y17" s="33"/>
      <c r="Z17" s="51"/>
      <c r="AA17" s="64">
        <f>IF(AD15="","",IF(AE15*AF15&lt;=0,AC15,AA15))</f>
        <v>-1</v>
      </c>
      <c r="AB17" s="63">
        <f t="shared" ref="AB17" si="36">IF(AD15="","",IF(AE15*AF15&gt;0,AC15,AB15))</f>
        <v>-0.984375</v>
      </c>
      <c r="AC17" s="63">
        <f t="shared" ref="AC17" si="37">IF(AD15="","",(AA17+AB17)/2)</f>
        <v>-0.9921875</v>
      </c>
      <c r="AD17" s="63">
        <f t="shared" ref="AD17" si="38">IF(AD15 = "","",IF(ABS(AB17-AA17)&lt;$X$9,"",$B$5*(AA17^2)+$B$6*AA17+$B$7))</f>
        <v>0</v>
      </c>
      <c r="AE17" s="63">
        <f t="shared" ref="AE17" si="39">IF(AD17 = "","",IF(ABS(AB17-AA17)&lt;$X$9,"",$B$5*(AB17^2)+$B$6*AB17+$B$7))</f>
        <v>-3.1005859375E-2</v>
      </c>
      <c r="AF17" s="63">
        <f t="shared" ref="AF17" si="40">IF(AD17= "","",IF(ABS(AB17-AA17)&lt;$X$9,"",$B$5*(AC17^2)+$B$6*AC17+$B$7))</f>
        <v>-1.556396484375E-2</v>
      </c>
      <c r="AG17" s="60"/>
      <c r="AH17" s="59">
        <f t="shared" ref="AH17" si="41">IF(AK15="","",IF(AL15*AM15&lt;=0,AJ15,AH15))</f>
        <v>-1</v>
      </c>
      <c r="AI17" s="59">
        <f t="shared" ref="AI17" si="42">IF(AK15="","",IF(AL15*AM15&gt;0,AJ15,AI15))</f>
        <v>-1.0078125</v>
      </c>
      <c r="AJ17" s="59">
        <f t="shared" ref="AJ17" si="43">IF(AK15="","",(AH17+AI17)/2)</f>
        <v>-1.00390625</v>
      </c>
      <c r="AK17" s="59">
        <f t="shared" ref="AK17" si="44">IF(AK15 = "","",IF(ABS(AI17-AH17)&lt;$X$9,"",$B$5*(AH17^2)+$B$6*AH17+$B$7))</f>
        <v>0</v>
      </c>
      <c r="AL17" s="59">
        <f t="shared" ref="AL17" si="45">IF(AK17= "","",IF(ABS(AI17-AH17)&lt;$X$9,"",$B$5*(AI17^2)+$B$6*AI17+$B$7))</f>
        <v>1.568603515625E-2</v>
      </c>
      <c r="AM17" s="59">
        <f t="shared" ref="AM17" si="46">IF(AK17= "","",IF(ABS(AI17-AH17)&lt;$X$9,"",$B$5*(AJ17^2)+$B$6*AJ17+$B$7))</f>
        <v>7.8277587890625E-3</v>
      </c>
    </row>
    <row r="18" spans="1:39" ht="3" customHeight="1">
      <c r="A18" s="34"/>
      <c r="B18" s="34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9"/>
      <c r="P18" s="93"/>
      <c r="Q18" s="9"/>
      <c r="R18" s="24"/>
      <c r="S18" s="29">
        <f>IF($B$40=2,($C$9+($A$40/1500)*6)*-1+C9*2,$C$9+($A$40/1500)*6)</f>
        <v>3.12</v>
      </c>
      <c r="T18" s="30">
        <f t="shared" si="15"/>
        <v>8.7344000000000008</v>
      </c>
      <c r="U18" s="23"/>
      <c r="V18" s="33"/>
      <c r="W18" s="33"/>
      <c r="X18" s="33"/>
      <c r="Y18" s="33"/>
      <c r="Z18" s="51"/>
      <c r="AA18" s="64"/>
      <c r="AB18" s="63"/>
      <c r="AC18" s="63"/>
      <c r="AD18" s="63"/>
      <c r="AE18" s="63"/>
      <c r="AF18" s="63"/>
      <c r="AG18" s="60"/>
      <c r="AH18" s="59"/>
      <c r="AI18" s="59"/>
      <c r="AJ18" s="59"/>
      <c r="AK18" s="59"/>
      <c r="AL18" s="59"/>
      <c r="AM18" s="59"/>
    </row>
    <row r="19" spans="1:39" ht="31.95" customHeight="1">
      <c r="A19" s="76" t="s">
        <v>24</v>
      </c>
      <c r="B19" s="76"/>
      <c r="C19" s="15" t="str">
        <f>IF(B5&gt;0,CONCATENATE("(","-",C27,"; ",C9,")"),CONCATENATE("(",C9,";", "+",B27,")"))</f>
        <v>(-∞; 0)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9"/>
      <c r="P19" s="93"/>
      <c r="Q19" s="9"/>
      <c r="R19" s="24"/>
      <c r="S19" s="29">
        <f>IF($B$40=2,($C$9+($A$40/1500)*7)*-1+C9*2,$C$9+($A$40/1500)*7)</f>
        <v>3.64</v>
      </c>
      <c r="T19" s="30">
        <f t="shared" si="15"/>
        <v>12.249600000000001</v>
      </c>
      <c r="U19" s="23"/>
      <c r="V19" s="33"/>
      <c r="W19" s="33"/>
      <c r="X19" s="33"/>
      <c r="Y19" s="33"/>
      <c r="Z19" s="51"/>
      <c r="AA19" s="64">
        <f>IF(AD17="","",IF(AE17*AF17&lt;=0,AC17,AA17))</f>
        <v>-1</v>
      </c>
      <c r="AB19" s="63">
        <f t="shared" ref="AB19" si="47">IF(AD17="","",IF(AE17*AF17&gt;0,AC17,AB17))</f>
        <v>-0.9921875</v>
      </c>
      <c r="AC19" s="63">
        <f t="shared" ref="AC19" si="48">IF(AD17="","",(AA19+AB19)/2)</f>
        <v>-0.99609375</v>
      </c>
      <c r="AD19" s="63">
        <f t="shared" ref="AD19" si="49">IF(AD17 = "","",IF(ABS(AB19-AA19)&lt;$X$9,"",$B$5*(AA19^2)+$B$6*AA19+$B$7))</f>
        <v>0</v>
      </c>
      <c r="AE19" s="63">
        <f t="shared" ref="AE19" si="50">IF(AD19 = "","",IF(ABS(AB19-AA19)&lt;$X$9,"",$B$5*(AB19^2)+$B$6*AB19+$B$7))</f>
        <v>-1.556396484375E-2</v>
      </c>
      <c r="AF19" s="63">
        <f t="shared" ref="AF19" si="51">IF(AD19= "","",IF(ABS(AB19-AA19)&lt;$X$9,"",$B$5*(AC19^2)+$B$6*AC19+$B$7))</f>
        <v>-7.7972412109375E-3</v>
      </c>
      <c r="AG19" s="60"/>
      <c r="AH19" s="59">
        <f t="shared" ref="AH19" si="52">IF(AK17="","",IF(AL17*AM17&lt;=0,AJ17,AH17))</f>
        <v>-1</v>
      </c>
      <c r="AI19" s="59">
        <f t="shared" ref="AI19" si="53">IF(AK17="","",IF(AL17*AM17&gt;0,AJ17,AI17))</f>
        <v>-1.00390625</v>
      </c>
      <c r="AJ19" s="59">
        <f t="shared" ref="AJ19" si="54">IF(AK17="","",(AH19+AI19)/2)</f>
        <v>-1.001953125</v>
      </c>
      <c r="AK19" s="59">
        <f t="shared" ref="AK19" si="55">IF(AK17 = "","",IF(ABS(AI19-AH19)&lt;$X$9,"",$B$5*(AH19^2)+$B$6*AH19+$B$7))</f>
        <v>0</v>
      </c>
      <c r="AL19" s="59">
        <f t="shared" ref="AL19" si="56">IF(AK19= "","",IF(ABS(AI19-AH19)&lt;$X$9,"",$B$5*(AI19^2)+$B$6*AI19+$B$7))</f>
        <v>7.8277587890625E-3</v>
      </c>
      <c r="AM19" s="59">
        <f t="shared" ref="AM19" si="57">IF(AK19= "","",IF(ABS(AI19-AH19)&lt;$X$9,"",$B$5*(AJ19^2)+$B$6*AJ19+$B$7))</f>
        <v>3.910064697265625E-3</v>
      </c>
    </row>
    <row r="20" spans="1:39" ht="3" customHeight="1">
      <c r="A20" s="34"/>
      <c r="B20" s="34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9"/>
      <c r="P20" s="93"/>
      <c r="Q20" s="9"/>
      <c r="R20" s="24"/>
      <c r="S20" s="29">
        <f>IF($B$40=2,($C$9+($A$40/1500)*8)*-1+C9*2,$C$9+($A$40/1500)*8)</f>
        <v>4.16</v>
      </c>
      <c r="T20" s="30">
        <f t="shared" si="15"/>
        <v>16.305600000000002</v>
      </c>
      <c r="U20" s="23"/>
      <c r="V20" s="33"/>
      <c r="W20" s="33"/>
      <c r="X20" s="33"/>
      <c r="Y20" s="33"/>
      <c r="Z20" s="51"/>
      <c r="AA20" s="64"/>
      <c r="AB20" s="63"/>
      <c r="AC20" s="63"/>
      <c r="AD20" s="63"/>
      <c r="AE20" s="63"/>
      <c r="AF20" s="63"/>
      <c r="AG20" s="60"/>
      <c r="AH20" s="59"/>
      <c r="AI20" s="59"/>
      <c r="AJ20" s="59"/>
      <c r="AK20" s="59"/>
      <c r="AL20" s="59"/>
      <c r="AM20" s="59"/>
    </row>
    <row r="21" spans="1:39" ht="16.05" customHeight="1">
      <c r="A21" s="76" t="s">
        <v>25</v>
      </c>
      <c r="B21" s="76"/>
      <c r="C21" s="16" t="str">
        <f>IF(B5&lt;0,CONCATENATE("(",D27,C27,"; ",A27,")"),CONCATENATE("(",A27,"; ",B27,")"))</f>
        <v>(-1; ∞)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9"/>
      <c r="P21" s="93"/>
      <c r="Q21" s="9"/>
      <c r="R21" s="24"/>
      <c r="S21" s="29">
        <f>IF($B$40=2,($C$9+($A$40/1500)*9)*-1+C9*2,$C$9+($A$40/1500)*9)</f>
        <v>4.68</v>
      </c>
      <c r="T21" s="30">
        <f t="shared" si="15"/>
        <v>20.902399999999997</v>
      </c>
      <c r="U21" s="23"/>
      <c r="V21" s="33"/>
      <c r="W21" s="33"/>
      <c r="X21" s="33"/>
      <c r="Y21" s="33"/>
      <c r="Z21" s="51"/>
      <c r="AA21" s="64">
        <f>IF(AD19="","",IF(AE19*AF19&lt;=0,AC19,AA19))</f>
        <v>-1</v>
      </c>
      <c r="AB21" s="63">
        <f t="shared" ref="AB21" si="58">IF(AD19="","",IF(AE19*AF19&gt;0,AC19,AB19))</f>
        <v>-0.99609375</v>
      </c>
      <c r="AC21" s="63">
        <f t="shared" ref="AC21" si="59">IF(AD19="","",(AA21+AB21)/2)</f>
        <v>-0.998046875</v>
      </c>
      <c r="AD21" s="63">
        <f t="shared" ref="AD21" si="60">IF(AD19 = "","",IF(ABS(AB21-AA21)&lt;$X$9,"",$B$5*(AA21^2)+$B$6*AA21+$B$7))</f>
        <v>0</v>
      </c>
      <c r="AE21" s="63">
        <f t="shared" ref="AE21" si="61">IF(AD21 = "","",IF(ABS(AB21-AA21)&lt;$X$9,"",$B$5*(AB21^2)+$B$6*AB21+$B$7))</f>
        <v>-7.7972412109375E-3</v>
      </c>
      <c r="AF21" s="63">
        <f t="shared" ref="AF21" si="62">IF(AD21= "","",IF(ABS(AB21-AA21)&lt;$X$9,"",$B$5*(AC21^2)+$B$6*AC21+$B$7))</f>
        <v>-3.902435302734375E-3</v>
      </c>
      <c r="AG21" s="60"/>
      <c r="AH21" s="59">
        <f t="shared" ref="AH21" si="63">IF(AK19="","",IF(AL19*AM19&lt;=0,AJ19,AH19))</f>
        <v>-1</v>
      </c>
      <c r="AI21" s="59">
        <f t="shared" ref="AI21" si="64">IF(AK19="","",IF(AL19*AM19&gt;0,AJ19,AI19))</f>
        <v>-1.001953125</v>
      </c>
      <c r="AJ21" s="59">
        <f t="shared" ref="AJ21" si="65">IF(AK19="","",(AH21+AI21)/2)</f>
        <v>-1.0009765625</v>
      </c>
      <c r="AK21" s="59">
        <f t="shared" ref="AK21" si="66">IF(AK19 = "","",IF(ABS(AI21-AH21)&lt;$X$9,"",$B$5*(AH21^2)+$B$6*AH21+$B$7))</f>
        <v>0</v>
      </c>
      <c r="AL21" s="59">
        <f t="shared" ref="AL21" si="67">IF(AK21= "","",IF(ABS(AI21-AH21)&lt;$X$9,"",$B$5*(AI21^2)+$B$6*AI21+$B$7))</f>
        <v>3.910064697265625E-3</v>
      </c>
      <c r="AM21" s="59">
        <f t="shared" ref="AM21" si="68">IF(AK21= "","",IF(ABS(AI21-AH21)&lt;$X$9,"",$B$5*(AJ21^2)+$B$6*AJ21+$B$7))</f>
        <v>1.9540786743164063E-3</v>
      </c>
    </row>
    <row r="22" spans="1:39" ht="3" customHeight="1">
      <c r="A22" s="34"/>
      <c r="B22" s="34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9"/>
      <c r="P22" s="93"/>
      <c r="Q22" s="9"/>
      <c r="R22" s="24"/>
      <c r="S22" s="29">
        <f>IF($B$40=2,($C$9+($A$40/1500)*10)*-1+C9*2,$C$9+($A$40/1500)*10)</f>
        <v>5.2</v>
      </c>
      <c r="T22" s="30">
        <f t="shared" si="15"/>
        <v>26.040000000000003</v>
      </c>
      <c r="U22" s="23"/>
      <c r="V22" s="33"/>
      <c r="W22" s="33"/>
      <c r="X22" s="33"/>
      <c r="Y22" s="33"/>
      <c r="Z22" s="51"/>
      <c r="AA22" s="64"/>
      <c r="AB22" s="63"/>
      <c r="AC22" s="63"/>
      <c r="AD22" s="63"/>
      <c r="AE22" s="63"/>
      <c r="AF22" s="63"/>
      <c r="AG22" s="60"/>
      <c r="AH22" s="59"/>
      <c r="AI22" s="59"/>
      <c r="AJ22" s="59"/>
      <c r="AK22" s="59"/>
      <c r="AL22" s="59"/>
      <c r="AM22" s="59"/>
    </row>
    <row r="23" spans="1:39" ht="16.05" customHeight="1">
      <c r="A23" s="74" t="s">
        <v>28</v>
      </c>
      <c r="B23" s="74"/>
      <c r="C23" s="17" t="str">
        <f>IF(A28&gt;0, C29,IF(A28=0, C30, C31))</f>
        <v>(-∞;-1)ᴗ(1;+∞)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9"/>
      <c r="P23" s="93"/>
      <c r="Q23" s="9"/>
      <c r="R23" s="24"/>
      <c r="U23" s="23"/>
      <c r="V23" s="33"/>
      <c r="W23" s="33"/>
      <c r="X23" s="33"/>
      <c r="Y23" s="33"/>
      <c r="Z23" s="51"/>
      <c r="AA23" s="64">
        <f>IF(AD21="","",IF(AE21*AF21&lt;=0,AC21,AA21))</f>
        <v>-1</v>
      </c>
      <c r="AB23" s="63">
        <f t="shared" ref="AB23" si="69">IF(AD21="","",IF(AE21*AF21&gt;0,AC21,AB21))</f>
        <v>-0.998046875</v>
      </c>
      <c r="AC23" s="63">
        <f t="shared" ref="AC23" si="70">IF(AD21="","",(AA23+AB23)/2)</f>
        <v>-0.9990234375</v>
      </c>
      <c r="AD23" s="63">
        <f t="shared" ref="AD23" si="71">IF(AD21 = "","",IF(ABS(AB23-AA23)&lt;$X$9,"",$B$5*(AA23^2)+$B$6*AA23+$B$7))</f>
        <v>0</v>
      </c>
      <c r="AE23" s="63">
        <f t="shared" ref="AE23" si="72">IF(AD23 = "","",IF(ABS(AB23-AA23)&lt;$X$9,"",$B$5*(AB23^2)+$B$6*AB23+$B$7))</f>
        <v>-3.902435302734375E-3</v>
      </c>
      <c r="AF23" s="63">
        <f t="shared" ref="AF23" si="73">IF(AD23= "","",IF(ABS(AB23-AA23)&lt;$X$9,"",$B$5*(AC23^2)+$B$6*AC23+$B$7))</f>
        <v>-1.9521713256835938E-3</v>
      </c>
      <c r="AG23" s="60"/>
      <c r="AH23" s="59">
        <f t="shared" ref="AH23" si="74">IF(AK21="","",IF(AL21*AM21&lt;=0,AJ21,AH21))</f>
        <v>-1</v>
      </c>
      <c r="AI23" s="59">
        <f t="shared" ref="AI23" si="75">IF(AK21="","",IF(AL21*AM21&gt;0,AJ21,AI21))</f>
        <v>-1.0009765625</v>
      </c>
      <c r="AJ23" s="59">
        <f t="shared" ref="AJ23" si="76">IF(AK21="","",(AH23+AI23)/2)</f>
        <v>-1.00048828125</v>
      </c>
      <c r="AK23" s="59" t="str">
        <f t="shared" ref="AK23" si="77">IF(AK21 = "","",IF(ABS(AI23-AH23)&lt;$X$9,"",$B$5*(AH23^2)+$B$6*AH23+$B$7))</f>
        <v/>
      </c>
      <c r="AL23" s="59" t="str">
        <f t="shared" ref="AL23" si="78">IF(AK23= "","",IF(ABS(AI23-AH23)&lt;$X$9,"",$B$5*(AI23^2)+$B$6*AI23+$B$7))</f>
        <v/>
      </c>
      <c r="AM23" s="59" t="str">
        <f t="shared" ref="AM23" si="79">IF(AK23= "","",IF(ABS(AI23-AH23)&lt;$X$9,"",$B$5*(AJ23^2)+$B$6*AJ23+$B$7))</f>
        <v/>
      </c>
    </row>
    <row r="24" spans="1:39" ht="3" customHeight="1">
      <c r="A24" s="39"/>
      <c r="B24" s="39"/>
      <c r="C24" s="18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9"/>
      <c r="P24" s="93"/>
      <c r="Q24" s="9"/>
      <c r="R24" s="24"/>
      <c r="U24" s="23"/>
      <c r="V24" s="33"/>
      <c r="W24" s="33"/>
      <c r="X24" s="33"/>
      <c r="Y24" s="33"/>
      <c r="Z24" s="51"/>
      <c r="AA24" s="64"/>
      <c r="AB24" s="63"/>
      <c r="AC24" s="63"/>
      <c r="AD24" s="63"/>
      <c r="AE24" s="63"/>
      <c r="AF24" s="63"/>
      <c r="AG24" s="60"/>
      <c r="AH24" s="59"/>
      <c r="AI24" s="59"/>
      <c r="AJ24" s="59"/>
      <c r="AK24" s="59"/>
      <c r="AL24" s="59"/>
      <c r="AM24" s="59"/>
    </row>
    <row r="25" spans="1:39" ht="16.05" customHeight="1">
      <c r="A25" s="74" t="s">
        <v>29</v>
      </c>
      <c r="B25" s="74"/>
      <c r="C25" s="15" t="str">
        <f>IF(A28&gt;0,C32,IF(A28=0,C33,C34))</f>
        <v>(-1;1)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9"/>
      <c r="P25" s="93"/>
      <c r="Q25" s="9"/>
      <c r="R25" s="24"/>
      <c r="U25" s="23"/>
      <c r="V25" s="33"/>
      <c r="W25" s="33"/>
      <c r="X25" s="33"/>
      <c r="Y25" s="33"/>
      <c r="Z25" s="51"/>
      <c r="AA25" s="64">
        <f>IF(AD23="","",IF(AE23*AF23&lt;=0,AC23,AA23))</f>
        <v>-1</v>
      </c>
      <c r="AB25" s="63">
        <f>IF(AD23="","",IF(AE23*AF23&gt;0,AC23,AB23))</f>
        <v>-0.9990234375</v>
      </c>
      <c r="AC25" s="63">
        <f>IF(AD23="","",(AA25+AB25)/2)</f>
        <v>-0.99951171875</v>
      </c>
      <c r="AD25" s="63" t="str">
        <f>IF(AD23 = "","",IF(ABS(AB25-AA25)&lt;$X$9,"",$B$5*(AA25^2)+$B$6*AA25+$B$7))</f>
        <v/>
      </c>
      <c r="AE25" s="63" t="str">
        <f>IF(AD25 = "","",IF(ABS(AB25-AA25)&lt;$X$9,"",$B$5*(AB25^2)+$B$6*AB25+$B$7))</f>
        <v/>
      </c>
      <c r="AF25" s="63" t="str">
        <f>IF(AD25= "","",IF(ABS(AB25-AA25)&lt;$X$9,"",$B$5*(AC25^2)+$B$6*AC25+$B$7))</f>
        <v/>
      </c>
      <c r="AG25" s="60"/>
      <c r="AH25" s="59" t="str">
        <f>IF(AK23="","",IF(AL23*AM23&lt;=0,AJ23,AH23))</f>
        <v/>
      </c>
      <c r="AI25" s="59" t="str">
        <f>IF(AK23="","",IF(AL23*AM23&gt;0,AJ23,AI23))</f>
        <v/>
      </c>
      <c r="AJ25" s="59" t="str">
        <f>IF(AK23="","",(AH25+AI25)/2)</f>
        <v/>
      </c>
      <c r="AK25" s="59" t="str">
        <f>IF(AK23 = "","",IF(ABS(AI25-AH25)&lt;$X$9,"",$B$5*(AH25^2)+$B$6*AH25+$B$7))</f>
        <v/>
      </c>
      <c r="AL25" s="59" t="str">
        <f>IF(AK25= "","",IF(ABS(AI25-AH25)&lt;$X$9,"",$B$5*(AI25^2)+$B$6*AI25+$B$7))</f>
        <v/>
      </c>
      <c r="AM25" s="59" t="str">
        <f>IF(AK25= "","",IF(ABS(AI25-AH25)&lt;$X$9,"",$B$5*(AJ25^2)+$B$6*AJ25+$B$7))</f>
        <v/>
      </c>
    </row>
    <row r="26" spans="1:39" ht="3" customHeight="1" thickBot="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20"/>
      <c r="P26" s="27"/>
      <c r="Q26" s="20"/>
      <c r="R26" s="25"/>
      <c r="S26" s="36"/>
      <c r="U26" s="23"/>
      <c r="V26" s="35"/>
      <c r="W26" s="35"/>
      <c r="X26" s="35"/>
      <c r="Y26" s="35"/>
      <c r="Z26" s="52"/>
      <c r="AA26" s="64"/>
      <c r="AB26" s="63"/>
      <c r="AC26" s="63"/>
      <c r="AD26" s="63"/>
      <c r="AE26" s="63"/>
      <c r="AF26" s="63"/>
      <c r="AG26" s="60"/>
      <c r="AH26" s="59"/>
      <c r="AI26" s="59"/>
      <c r="AJ26" s="59"/>
      <c r="AK26" s="59"/>
      <c r="AL26" s="59"/>
      <c r="AM26" s="59"/>
    </row>
    <row r="27" spans="1:39" ht="45.6" hidden="1" customHeight="1" thickTop="1" thickBot="1">
      <c r="A27" s="3">
        <f>C11</f>
        <v>-1</v>
      </c>
      <c r="B27" s="4" t="s">
        <v>9</v>
      </c>
      <c r="C27" s="3" t="s">
        <v>9</v>
      </c>
      <c r="D27" s="3" t="s">
        <v>10</v>
      </c>
      <c r="F27" s="1" t="s">
        <v>34</v>
      </c>
      <c r="U27" s="23"/>
      <c r="V27" s="33"/>
      <c r="W27" s="33"/>
      <c r="X27" s="33"/>
      <c r="Y27" s="33"/>
      <c r="Z27" s="51"/>
      <c r="AA27" s="49"/>
      <c r="AB27" s="49"/>
      <c r="AC27" s="49"/>
      <c r="AD27" s="49"/>
      <c r="AE27" s="49"/>
      <c r="AF27" s="49"/>
      <c r="AG27" s="60"/>
      <c r="AH27" s="50"/>
      <c r="AI27" s="50"/>
      <c r="AJ27" s="50"/>
      <c r="AK27" s="50"/>
      <c r="AL27" s="50"/>
      <c r="AM27" s="50"/>
    </row>
    <row r="28" spans="1:39" ht="58.2" hidden="1" customHeight="1" thickTop="1" thickBot="1">
      <c r="A28" s="3">
        <f>(B6^2)-(4*B5*B7)</f>
        <v>4</v>
      </c>
      <c r="B28" s="3" t="s">
        <v>11</v>
      </c>
      <c r="C28" s="4" t="s">
        <v>22</v>
      </c>
      <c r="D28" s="3" t="s">
        <v>18</v>
      </c>
      <c r="U28" s="23"/>
      <c r="V28" s="33"/>
      <c r="W28" s="33"/>
      <c r="X28" s="33"/>
      <c r="Y28" s="33"/>
      <c r="Z28" s="51"/>
      <c r="AA28" s="49"/>
      <c r="AB28" s="49"/>
      <c r="AC28" s="49"/>
      <c r="AD28" s="49"/>
      <c r="AE28" s="49"/>
      <c r="AF28" s="49"/>
      <c r="AG28" s="60"/>
      <c r="AH28" s="50"/>
      <c r="AI28" s="50"/>
      <c r="AJ28" s="50"/>
      <c r="AK28" s="50"/>
      <c r="AL28" s="50"/>
      <c r="AM28" s="50"/>
    </row>
    <row r="29" spans="1:39" ht="55.2" hidden="1" customHeight="1" thickTop="1" thickBot="1">
      <c r="A29" s="97" t="s">
        <v>14</v>
      </c>
      <c r="B29" s="97"/>
      <c r="C29" s="5" t="str">
        <f>IF(A28&gt;0,IF(B5&gt;0,CONCATENATE("(",D27,C27,";",C36,")",B28,"(",C35,";","+",C27,")"),CONCATENATE("(",C35,";",C36,")")),"нет")</f>
        <v>(-∞;-1)ᴗ(1;+∞)</v>
      </c>
      <c r="U29" s="23"/>
      <c r="V29" s="33"/>
      <c r="W29" s="33"/>
      <c r="X29" s="33"/>
      <c r="Y29" s="33"/>
      <c r="Z29" s="51"/>
      <c r="AA29" s="49"/>
      <c r="AB29" s="49"/>
      <c r="AC29" s="49"/>
      <c r="AD29" s="49"/>
      <c r="AE29" s="49"/>
      <c r="AF29" s="49"/>
      <c r="AG29" s="60"/>
      <c r="AH29" s="50"/>
      <c r="AI29" s="50"/>
      <c r="AJ29" s="50"/>
      <c r="AK29" s="50"/>
      <c r="AL29" s="50"/>
      <c r="AM29" s="50"/>
    </row>
    <row r="30" spans="1:39" ht="51.6" hidden="1" customHeight="1" thickTop="1" thickBot="1">
      <c r="A30" s="98" t="s">
        <v>13</v>
      </c>
      <c r="B30" s="98"/>
      <c r="C30" s="6" t="str">
        <f>IF(B5&gt;0,CONCATENATE("(",D27,C27,";",C35,")",B28,"(",C35,";","+",C27,")"),C28)</f>
        <v>(-∞;1)ᴗ(1;+∞)</v>
      </c>
      <c r="U30" s="23"/>
      <c r="V30" s="33"/>
      <c r="W30" s="33"/>
      <c r="X30" s="33"/>
      <c r="Y30" s="33"/>
      <c r="Z30" s="51"/>
      <c r="AA30" s="49"/>
      <c r="AB30" s="49"/>
      <c r="AC30" s="49"/>
      <c r="AD30" s="49"/>
      <c r="AE30" s="49"/>
      <c r="AF30" s="49"/>
      <c r="AG30" s="60"/>
      <c r="AH30" s="50"/>
      <c r="AI30" s="50"/>
      <c r="AJ30" s="50"/>
      <c r="AK30" s="50"/>
      <c r="AL30" s="50"/>
      <c r="AM30" s="50"/>
    </row>
    <row r="31" spans="1:39" ht="51.6" hidden="1" customHeight="1" thickTop="1" thickBot="1">
      <c r="A31" s="98" t="s">
        <v>15</v>
      </c>
      <c r="B31" s="98"/>
      <c r="C31" s="6" t="str">
        <f>IF(B5&gt;0,CONCATENATE("(-",C27,";","+",C27,")"),C28)</f>
        <v>(-∞;+∞)</v>
      </c>
      <c r="U31" s="23"/>
      <c r="V31" s="33"/>
      <c r="W31" s="33"/>
      <c r="X31" s="33"/>
      <c r="Y31" s="33"/>
      <c r="Z31" s="51"/>
      <c r="AA31" s="49"/>
      <c r="AB31" s="49"/>
      <c r="AC31" s="49"/>
      <c r="AD31" s="49"/>
      <c r="AE31" s="49"/>
      <c r="AF31" s="49"/>
      <c r="AG31" s="60"/>
      <c r="AH31" s="50"/>
      <c r="AI31" s="50"/>
      <c r="AJ31" s="50"/>
      <c r="AK31" s="50"/>
      <c r="AL31" s="50"/>
      <c r="AM31" s="50"/>
    </row>
    <row r="32" spans="1:39" ht="57.6" hidden="1" customHeight="1" thickTop="1" thickBot="1">
      <c r="A32" s="95" t="s">
        <v>14</v>
      </c>
      <c r="B32" s="95"/>
      <c r="C32" s="2" t="str">
        <f>IF(A28&gt;0,IF(B5&gt;0,CONCATENATE("(",C36,";",C35,")"),CONCATENATE("(",D27,C27,";",C35,")",B28,"(",C36,";","+",C27,")")),"нет")</f>
        <v>(-1;1)</v>
      </c>
      <c r="U32" s="23"/>
      <c r="V32" s="33"/>
      <c r="W32" s="33"/>
      <c r="X32" s="33"/>
      <c r="Y32" s="33"/>
      <c r="Z32" s="51"/>
      <c r="AA32" s="49"/>
      <c r="AB32" s="49"/>
      <c r="AC32" s="49"/>
      <c r="AD32" s="49"/>
      <c r="AE32" s="49"/>
      <c r="AF32" s="49"/>
      <c r="AG32" s="60"/>
      <c r="AH32" s="50"/>
      <c r="AI32" s="50"/>
      <c r="AJ32" s="50"/>
      <c r="AK32" s="50"/>
      <c r="AL32" s="50"/>
      <c r="AM32" s="50"/>
    </row>
    <row r="33" spans="1:39" ht="54.6" hidden="1" customHeight="1" thickTop="1" thickBot="1">
      <c r="A33" s="95" t="s">
        <v>13</v>
      </c>
      <c r="B33" s="95"/>
      <c r="C33" s="2" t="str">
        <f>IF(B5&gt;0,C28,CONCATENATE("(",D27,C27,";",((B6*-1)+((A28)^0.5))/(B5*2),")",B28,"(",((B6*-1)+((A28)^0.5))/(B5*2),";","+",C27,")"))</f>
        <v>ø</v>
      </c>
      <c r="U33" s="23"/>
      <c r="V33" s="33"/>
      <c r="W33" s="33"/>
      <c r="X33" s="33"/>
      <c r="Y33" s="33"/>
      <c r="Z33" s="51"/>
      <c r="AA33" s="49"/>
      <c r="AB33" s="49"/>
      <c r="AC33" s="49"/>
      <c r="AD33" s="49"/>
      <c r="AE33" s="49"/>
      <c r="AF33" s="49"/>
      <c r="AG33" s="60"/>
      <c r="AH33" s="50"/>
      <c r="AI33" s="50"/>
      <c r="AJ33" s="50"/>
      <c r="AK33" s="50"/>
      <c r="AL33" s="50"/>
      <c r="AM33" s="50"/>
    </row>
    <row r="34" spans="1:39" ht="58.8" hidden="1" customHeight="1" thickTop="1" thickBot="1">
      <c r="A34" s="95" t="s">
        <v>15</v>
      </c>
      <c r="B34" s="95"/>
      <c r="C34" s="2" t="str">
        <f>IF(B5&gt;0,C28,CONCATENATE("(-",C27,";","+",C27,")"))</f>
        <v>ø</v>
      </c>
      <c r="U34" s="23"/>
      <c r="V34" s="33"/>
      <c r="W34" s="33"/>
      <c r="X34" s="33"/>
      <c r="Y34" s="33"/>
      <c r="Z34" s="51"/>
      <c r="AA34" s="49"/>
      <c r="AB34" s="49"/>
      <c r="AC34" s="49"/>
      <c r="AD34" s="49"/>
      <c r="AE34" s="49"/>
      <c r="AF34" s="49"/>
      <c r="AG34" s="60"/>
      <c r="AH34" s="50"/>
      <c r="AI34" s="50"/>
      <c r="AJ34" s="50"/>
      <c r="AK34" s="50"/>
      <c r="AL34" s="50"/>
      <c r="AM34" s="50"/>
    </row>
    <row r="35" spans="1:39" ht="58.2" hidden="1" customHeight="1" thickTop="1" thickBot="1">
      <c r="A35" s="96" t="s">
        <v>16</v>
      </c>
      <c r="B35" s="96"/>
      <c r="C35" s="8">
        <f>INT((((B6*-1)+((A28)^0.5))/(B5*2))*100)/100</f>
        <v>1</v>
      </c>
      <c r="U35" s="23"/>
      <c r="V35" s="33"/>
      <c r="W35" s="33"/>
      <c r="X35" s="33"/>
      <c r="Y35" s="33"/>
      <c r="Z35" s="51"/>
      <c r="AA35" s="49"/>
      <c r="AB35" s="49"/>
      <c r="AC35" s="49"/>
      <c r="AD35" s="49"/>
      <c r="AE35" s="49"/>
      <c r="AF35" s="49"/>
      <c r="AG35" s="60"/>
      <c r="AH35" s="50"/>
      <c r="AI35" s="50"/>
      <c r="AJ35" s="50"/>
      <c r="AK35" s="50"/>
      <c r="AL35" s="50"/>
      <c r="AM35" s="50"/>
    </row>
    <row r="36" spans="1:39" ht="46.8" hidden="1" customHeight="1" thickTop="1" thickBot="1">
      <c r="A36" s="96" t="s">
        <v>17</v>
      </c>
      <c r="B36" s="96"/>
      <c r="C36" s="8">
        <f>INT(((((B6*-1)-((A28)^0.5))/(B5*2)))*100)/100</f>
        <v>-1</v>
      </c>
      <c r="U36" s="23"/>
      <c r="V36" s="33"/>
      <c r="W36" s="33"/>
      <c r="X36" s="33"/>
      <c r="Y36" s="33"/>
      <c r="Z36" s="51"/>
      <c r="AA36" s="49"/>
      <c r="AB36" s="49"/>
      <c r="AC36" s="49"/>
      <c r="AD36" s="49"/>
      <c r="AE36" s="49"/>
      <c r="AF36" s="49"/>
      <c r="AG36" s="60"/>
      <c r="AH36" s="50"/>
      <c r="AI36" s="50"/>
      <c r="AJ36" s="50"/>
      <c r="AK36" s="50"/>
      <c r="AL36" s="50"/>
      <c r="AM36" s="50"/>
    </row>
    <row r="37" spans="1:39" ht="48" hidden="1" customHeight="1" thickTop="1" thickBot="1">
      <c r="A37" s="94" t="s">
        <v>19</v>
      </c>
      <c r="B37" s="94"/>
      <c r="C37" s="7" t="str">
        <f>CONCATENATE("y = ",IF(B5 = 1,CONCATENATE("x",D28),IF(B5 = -1, CONCATENATE("-x",D28),CONCATENATE(B5,"x",D28))))</f>
        <v>y = x²</v>
      </c>
      <c r="U37" s="23"/>
      <c r="V37" s="33"/>
      <c r="W37" s="33"/>
      <c r="X37" s="33"/>
      <c r="Y37" s="33"/>
      <c r="Z37" s="51"/>
      <c r="AA37" s="49"/>
      <c r="AB37" s="49"/>
      <c r="AC37" s="49"/>
      <c r="AD37" s="49"/>
      <c r="AE37" s="49"/>
      <c r="AF37" s="49"/>
      <c r="AG37" s="60"/>
      <c r="AH37" s="50"/>
      <c r="AI37" s="50"/>
      <c r="AJ37" s="50"/>
      <c r="AK37" s="50"/>
      <c r="AL37" s="50"/>
      <c r="AM37" s="50"/>
    </row>
    <row r="38" spans="1:39" ht="45" hidden="1" customHeight="1" thickTop="1" thickBot="1">
      <c r="A38" s="94" t="s">
        <v>20</v>
      </c>
      <c r="B38" s="94"/>
      <c r="C38" s="7" t="str">
        <f>CONCATENATE(IF(B6= 1, CONCATENATE(" + х"), IF(B6=-1, CONCATENATE(" - х"), IF(B6&lt;0, CONCATENATE(" - ",B6*-1,"х"), IF(B6 = 0," ", CONCATENATE(" + ",B6,"х"))))))</f>
        <v xml:space="preserve"> </v>
      </c>
      <c r="U38" s="23"/>
      <c r="V38" s="33"/>
      <c r="W38" s="33"/>
      <c r="X38" s="33"/>
      <c r="Y38" s="33"/>
      <c r="Z38" s="51"/>
      <c r="AA38" s="49"/>
      <c r="AB38" s="49"/>
      <c r="AC38" s="49"/>
      <c r="AD38" s="49"/>
      <c r="AE38" s="49"/>
      <c r="AF38" s="49"/>
      <c r="AG38" s="60"/>
      <c r="AH38" s="50"/>
      <c r="AI38" s="50"/>
      <c r="AJ38" s="50"/>
      <c r="AK38" s="50"/>
      <c r="AL38" s="50"/>
      <c r="AM38" s="50"/>
    </row>
    <row r="39" spans="1:39" ht="60.6" hidden="1" customHeight="1" thickTop="1" thickBot="1">
      <c r="A39" s="94" t="s">
        <v>21</v>
      </c>
      <c r="B39" s="94"/>
      <c r="C39" s="7" t="str">
        <f>CONCATENATE(IF(B7&lt;0, CONCATENATE(" - ",B7*-1), IF(B7 = 0," ", CONCATENATE(" + ",B7))))</f>
        <v xml:space="preserve"> - 1</v>
      </c>
      <c r="U39" s="23"/>
      <c r="V39" s="33"/>
      <c r="W39" s="33"/>
      <c r="X39" s="33"/>
      <c r="Y39" s="33"/>
      <c r="Z39" s="51"/>
      <c r="AA39" s="49"/>
      <c r="AB39" s="49"/>
      <c r="AC39" s="49"/>
      <c r="AD39" s="49"/>
      <c r="AE39" s="49"/>
      <c r="AF39" s="49"/>
      <c r="AG39" s="60"/>
      <c r="AH39" s="50"/>
      <c r="AI39" s="50"/>
      <c r="AJ39" s="50"/>
      <c r="AK39" s="50"/>
      <c r="AL39" s="50"/>
      <c r="AM39" s="50"/>
    </row>
    <row r="40" spans="1:39" s="23" customFormat="1" ht="81" hidden="1" customHeight="1" thickTop="1" thickBot="1">
      <c r="A40" s="22">
        <v>780</v>
      </c>
      <c r="B40" s="23">
        <v>1</v>
      </c>
      <c r="S40" s="32"/>
      <c r="T40" s="32"/>
      <c r="V40" s="33"/>
      <c r="W40" s="33"/>
      <c r="X40" s="33"/>
      <c r="Y40" s="33"/>
      <c r="Z40" s="51"/>
      <c r="AA40" s="49"/>
      <c r="AB40" s="49"/>
      <c r="AC40" s="49"/>
      <c r="AD40" s="49"/>
      <c r="AE40" s="49"/>
      <c r="AF40" s="49"/>
      <c r="AG40" s="60"/>
      <c r="AH40" s="50"/>
      <c r="AI40" s="50"/>
      <c r="AJ40" s="50"/>
      <c r="AK40" s="50"/>
      <c r="AL40" s="50"/>
      <c r="AM40" s="50"/>
    </row>
    <row r="41" spans="1:39" ht="16.05" customHeight="1">
      <c r="R41" s="18"/>
      <c r="U41" s="23"/>
      <c r="V41" s="33"/>
      <c r="W41" s="33"/>
      <c r="X41" s="33"/>
      <c r="Y41" s="33"/>
      <c r="Z41" s="51"/>
      <c r="AA41" s="49" t="str">
        <f>IF(AD25="","",IF(AE25*AF25&lt;=0,AC25,AA25))</f>
        <v/>
      </c>
      <c r="AB41" s="49" t="str">
        <f>IF(AD25="","",IF(AE25*AF25&gt;0,AC25,AB25))</f>
        <v/>
      </c>
      <c r="AC41" s="49" t="str">
        <f>IF(AD25="","",(AA41+AB41)/2)</f>
        <v/>
      </c>
      <c r="AD41" s="49" t="str">
        <f>IF(AD25 = "","",IF(ABS(AB41-AA41)&lt;$X$9,"",$B$5*(AA41^2)+$B$6*AA41+$B$7))</f>
        <v/>
      </c>
      <c r="AE41" s="49" t="str">
        <f>IF(AD41 = "","",IF(ABS(AB41-AA41)&lt;$X$9,"",$B$5*(AB41^2)+$B$6*AB41+$B$7))</f>
        <v/>
      </c>
      <c r="AF41" s="49" t="str">
        <f>IF(AD41= "","",IF(ABS(AB41-AA41)&lt;$X$9,"",$B$5*(AC41^2)+$B$6*AC41+$B$7))</f>
        <v/>
      </c>
      <c r="AG41" s="60"/>
      <c r="AH41" s="50" t="str">
        <f>IF(AK25="","",IF(AL25*AM25&lt;=0,AJ25,AH25))</f>
        <v/>
      </c>
      <c r="AI41" s="50" t="str">
        <f>IF(AK25="","",IF(AL25*AM25&gt;0,AJ25,AI25))</f>
        <v/>
      </c>
      <c r="AJ41" s="50" t="str">
        <f>IF(AK25="","",(AH41+AI41)/2)</f>
        <v/>
      </c>
      <c r="AK41" s="50" t="str">
        <f>IF(AK25 = "","",IF(ABS(AI41-AH41)&lt;$X$9,"",$B$5*(AH41^2)+$B$6*AH41+$B$7))</f>
        <v/>
      </c>
      <c r="AL41" s="50" t="str">
        <f>IF(AK41= "","",IF(ABS(AI41-AH41)&lt;$X$9,"",$B$5*(AI41^2)+$B$6*AI41+$B$7))</f>
        <v/>
      </c>
      <c r="AM41" s="50" t="str">
        <f>IF(AK41= "","",IF(ABS(AI41-AH41)&lt;$X$9,"",$B$5*(AJ41^2)+$B$6*AJ41+$B$7))</f>
        <v/>
      </c>
    </row>
    <row r="42" spans="1:39" ht="16.05" customHeight="1">
      <c r="R42" s="18"/>
      <c r="U42" s="23"/>
      <c r="V42" s="33"/>
      <c r="W42" s="33"/>
      <c r="X42" s="33"/>
      <c r="Y42" s="33"/>
      <c r="Z42" s="51"/>
      <c r="AA42" s="49" t="str">
        <f t="shared" ref="AA42:AA47" si="80">IF(AD41="","",IF(AE41*AF41&lt;=0,AC41,AA41))</f>
        <v/>
      </c>
      <c r="AB42" s="49" t="str">
        <f>IF(AD41="","",IF(AE41*AF41&gt;0,AC41,AB41))</f>
        <v/>
      </c>
      <c r="AC42" s="49" t="str">
        <f>IF(AD41="","",(AA42+AB42)/2)</f>
        <v/>
      </c>
      <c r="AD42" s="49" t="str">
        <f>IF(AD41 = "","",IF(ABS(AB42-AA42)&lt;$X$9,"",$B$5*(AA42^2)+$B$6*AA42+$B$7))</f>
        <v/>
      </c>
      <c r="AE42" s="49" t="str">
        <f t="shared" ref="AE42:AE47" si="81">IF(AD42 = "","",IF(ABS(AB42-AA42)&lt;$X$9,"",$B$5*(AB42^2)+$B$6*AB42+$B$7))</f>
        <v/>
      </c>
      <c r="AF42" s="49" t="str">
        <f t="shared" ref="AF42:AF47" si="82">IF(AD42= "","",IF(ABS(AB42-AA42)&lt;$X$9,"",$B$5*(AC42^2)+$B$6*AC42+$B$7))</f>
        <v/>
      </c>
      <c r="AG42" s="60"/>
      <c r="AH42" s="50" t="str">
        <f>IF(AK41="","",IF(AL41*AM41&lt;=0,AJ41,AH41))</f>
        <v/>
      </c>
      <c r="AI42" s="50" t="str">
        <f>IF(AK41="","",IF(AL41*AM41&gt;0,AJ41,AI41))</f>
        <v/>
      </c>
      <c r="AJ42" s="50" t="str">
        <f>IF(AK41="","",(AH42+AI42)/2)</f>
        <v/>
      </c>
      <c r="AK42" s="50" t="str">
        <f>IF(AK41 = "","",IF(ABS(AI42-AH42)&lt;$X$9,"",$B$5*(AH42^2)+$B$6*AH42+$B$7))</f>
        <v/>
      </c>
      <c r="AL42" s="50" t="str">
        <f t="shared" ref="AL42:AL47" si="83">IF(AK42= "","",IF(ABS(AI42-AH42)&lt;$X$9,"",$B$5*(AI42^2)+$B$6*AI42+$B$7))</f>
        <v/>
      </c>
      <c r="AM42" s="50" t="str">
        <f t="shared" ref="AM42:AM47" si="84">IF(AK42= "","",IF(ABS(AI42-AH42)&lt;$X$9,"",$B$5*(AJ42^2)+$B$6*AJ42+$B$7))</f>
        <v/>
      </c>
    </row>
    <row r="43" spans="1:39" ht="16.05" customHeight="1">
      <c r="R43" s="18"/>
      <c r="U43" s="23"/>
      <c r="V43" s="33"/>
      <c r="W43" s="33"/>
      <c r="X43" s="33"/>
      <c r="Y43" s="33"/>
      <c r="Z43" s="51"/>
      <c r="AA43" s="49" t="str">
        <f t="shared" si="80"/>
        <v/>
      </c>
      <c r="AB43" s="49" t="str">
        <f t="shared" ref="AB43:AB47" si="85">IF(AD42="","",IF(AE42*AF42&gt;0,AC42,AB42))</f>
        <v/>
      </c>
      <c r="AC43" s="49" t="str">
        <f t="shared" ref="AC43:AC47" si="86">IF(AD42="","",(AA43+AB43)/2)</f>
        <v/>
      </c>
      <c r="AD43" s="49" t="str">
        <f t="shared" ref="AD43:AD47" si="87">IF(AD42 = "","",IF(ABS(AB43-AA43)&lt;$X$9,"",$B$5*(AA43^2)+$B$6*AA43+$B$7))</f>
        <v/>
      </c>
      <c r="AE43" s="49" t="str">
        <f t="shared" si="81"/>
        <v/>
      </c>
      <c r="AF43" s="49" t="str">
        <f t="shared" si="82"/>
        <v/>
      </c>
      <c r="AG43" s="60"/>
      <c r="AH43" s="50" t="str">
        <f>IF(AK42="","",IF(AL42*AM42&lt;=0,AJ42,AH42))</f>
        <v/>
      </c>
      <c r="AI43" s="50" t="str">
        <f>IF(AK42="","",IF(AL42*AM42&gt;0,AJ42,AI42))</f>
        <v/>
      </c>
      <c r="AJ43" s="50" t="str">
        <f t="shared" ref="AJ43:AJ47" si="88">IF(AK42="","",(AH43+AI43)/2)</f>
        <v/>
      </c>
      <c r="AK43" s="50" t="str">
        <f t="shared" ref="AK43:AK47" si="89">IF(AK42 = "","",IF(ABS(AI43-AH43)&lt;$X$9,"",$B$5*(AH43^2)+$B$6*AH43+$B$7))</f>
        <v/>
      </c>
      <c r="AL43" s="50" t="str">
        <f t="shared" si="83"/>
        <v/>
      </c>
      <c r="AM43" s="50" t="str">
        <f t="shared" si="84"/>
        <v/>
      </c>
    </row>
    <row r="44" spans="1:39" ht="16.05" customHeight="1">
      <c r="H44" s="28"/>
      <c r="R44" s="18"/>
      <c r="U44" s="23"/>
      <c r="V44" s="33"/>
      <c r="W44" s="33"/>
      <c r="X44" s="33"/>
      <c r="Y44" s="33"/>
      <c r="Z44" s="51"/>
      <c r="AA44" s="49" t="str">
        <f t="shared" si="80"/>
        <v/>
      </c>
      <c r="AB44" s="49" t="str">
        <f t="shared" si="85"/>
        <v/>
      </c>
      <c r="AC44" s="49" t="str">
        <f t="shared" si="86"/>
        <v/>
      </c>
      <c r="AD44" s="49" t="str">
        <f t="shared" si="87"/>
        <v/>
      </c>
      <c r="AE44" s="49" t="str">
        <f t="shared" si="81"/>
        <v/>
      </c>
      <c r="AF44" s="49" t="str">
        <f t="shared" si="82"/>
        <v/>
      </c>
      <c r="AG44" s="60"/>
      <c r="AH44" s="50" t="str">
        <f t="shared" ref="AH44:AH47" si="90">IF(AK43="","",IF(AL43*AM43&lt;=0,AJ43,AH43))</f>
        <v/>
      </c>
      <c r="AI44" s="50" t="str">
        <f t="shared" ref="AI44:AI47" si="91">IF(AK43="","",IF(AL43*AM43&gt;0,AJ43,AI43))</f>
        <v/>
      </c>
      <c r="AJ44" s="50" t="str">
        <f t="shared" si="88"/>
        <v/>
      </c>
      <c r="AK44" s="50" t="str">
        <f t="shared" si="89"/>
        <v/>
      </c>
      <c r="AL44" s="50" t="str">
        <f t="shared" si="83"/>
        <v/>
      </c>
      <c r="AM44" s="50" t="str">
        <f t="shared" si="84"/>
        <v/>
      </c>
    </row>
    <row r="45" spans="1:39" ht="16.05" customHeight="1">
      <c r="H45" s="28"/>
      <c r="R45" s="18"/>
      <c r="U45" s="23"/>
      <c r="V45" s="33"/>
      <c r="W45" s="33"/>
      <c r="X45" s="33"/>
      <c r="Y45" s="33"/>
      <c r="Z45" s="51"/>
      <c r="AA45" s="49" t="str">
        <f t="shared" si="80"/>
        <v/>
      </c>
      <c r="AB45" s="49" t="str">
        <f t="shared" si="85"/>
        <v/>
      </c>
      <c r="AC45" s="49" t="str">
        <f t="shared" si="86"/>
        <v/>
      </c>
      <c r="AD45" s="49" t="str">
        <f t="shared" si="87"/>
        <v/>
      </c>
      <c r="AE45" s="49" t="str">
        <f t="shared" si="81"/>
        <v/>
      </c>
      <c r="AF45" s="49" t="str">
        <f t="shared" si="82"/>
        <v/>
      </c>
      <c r="AG45" s="60"/>
      <c r="AH45" s="50" t="str">
        <f t="shared" si="90"/>
        <v/>
      </c>
      <c r="AI45" s="50" t="str">
        <f t="shared" si="91"/>
        <v/>
      </c>
      <c r="AJ45" s="50" t="str">
        <f t="shared" si="88"/>
        <v/>
      </c>
      <c r="AK45" s="50" t="str">
        <f t="shared" si="89"/>
        <v/>
      </c>
      <c r="AL45" s="50" t="str">
        <f t="shared" si="83"/>
        <v/>
      </c>
      <c r="AM45" s="50" t="str">
        <f t="shared" si="84"/>
        <v/>
      </c>
    </row>
    <row r="46" spans="1:39" ht="16.05" customHeight="1">
      <c r="H46" s="28"/>
      <c r="R46" s="18"/>
      <c r="U46" s="23"/>
      <c r="V46" s="33"/>
      <c r="W46" s="33"/>
      <c r="X46" s="33"/>
      <c r="Y46" s="33"/>
      <c r="Z46" s="51"/>
      <c r="AA46" s="49" t="str">
        <f t="shared" si="80"/>
        <v/>
      </c>
      <c r="AB46" s="49" t="str">
        <f t="shared" si="85"/>
        <v/>
      </c>
      <c r="AC46" s="49" t="str">
        <f t="shared" si="86"/>
        <v/>
      </c>
      <c r="AD46" s="49" t="str">
        <f t="shared" si="87"/>
        <v/>
      </c>
      <c r="AE46" s="49" t="str">
        <f t="shared" si="81"/>
        <v/>
      </c>
      <c r="AF46" s="49" t="str">
        <f t="shared" si="82"/>
        <v/>
      </c>
      <c r="AG46" s="60"/>
      <c r="AH46" s="50" t="str">
        <f t="shared" si="90"/>
        <v/>
      </c>
      <c r="AI46" s="50" t="str">
        <f t="shared" si="91"/>
        <v/>
      </c>
      <c r="AJ46" s="50" t="str">
        <f t="shared" si="88"/>
        <v/>
      </c>
      <c r="AK46" s="50" t="str">
        <f t="shared" si="89"/>
        <v/>
      </c>
      <c r="AL46" s="50" t="str">
        <f t="shared" si="83"/>
        <v/>
      </c>
      <c r="AM46" s="50" t="str">
        <f t="shared" si="84"/>
        <v/>
      </c>
    </row>
    <row r="47" spans="1:39" ht="16.05" customHeight="1">
      <c r="H47" s="28"/>
      <c r="R47" s="18"/>
      <c r="U47" s="23"/>
      <c r="V47" s="33"/>
      <c r="W47" s="33"/>
      <c r="X47" s="33"/>
      <c r="Y47" s="33"/>
      <c r="Z47" s="51"/>
      <c r="AA47" s="49" t="str">
        <f t="shared" si="80"/>
        <v/>
      </c>
      <c r="AB47" s="49" t="str">
        <f t="shared" si="85"/>
        <v/>
      </c>
      <c r="AC47" s="49" t="str">
        <f t="shared" si="86"/>
        <v/>
      </c>
      <c r="AD47" s="49" t="str">
        <f t="shared" si="87"/>
        <v/>
      </c>
      <c r="AE47" s="49" t="str">
        <f t="shared" si="81"/>
        <v/>
      </c>
      <c r="AF47" s="49" t="str">
        <f t="shared" si="82"/>
        <v/>
      </c>
      <c r="AG47" s="60"/>
      <c r="AH47" s="53" t="str">
        <f t="shared" si="90"/>
        <v/>
      </c>
      <c r="AI47" s="54" t="str">
        <f t="shared" si="91"/>
        <v/>
      </c>
      <c r="AJ47" s="54" t="str">
        <f t="shared" si="88"/>
        <v/>
      </c>
      <c r="AK47" s="54" t="str">
        <f t="shared" si="89"/>
        <v/>
      </c>
      <c r="AL47" s="54" t="str">
        <f t="shared" si="83"/>
        <v/>
      </c>
      <c r="AM47" s="55" t="str">
        <f t="shared" si="84"/>
        <v/>
      </c>
    </row>
    <row r="48" spans="1:39" ht="16.05" hidden="1" customHeight="1">
      <c r="H48" s="28"/>
      <c r="R48" s="18"/>
      <c r="U48" s="23"/>
      <c r="V48" s="33"/>
      <c r="W48" s="33"/>
      <c r="X48" s="33"/>
      <c r="Y48" s="33"/>
      <c r="Z48" s="51"/>
      <c r="AA48" s="56">
        <f>IF(AA4="","",(INT(((MAX(AA4:AA47)+MIN(AB4:AB47))/2)/X9)*X9))</f>
        <v>-1</v>
      </c>
      <c r="AB48" s="57"/>
      <c r="AC48" s="40"/>
      <c r="AD48" s="40" t="str">
        <f>C28</f>
        <v>ø</v>
      </c>
      <c r="AE48" s="40"/>
      <c r="AF48" s="40"/>
      <c r="AH48" s="42">
        <f>IF(AH4="","",(INT(((MAX(AH4:AH47)+MIN(AI4:AI47))/2)/X9)*X9))</f>
        <v>-1</v>
      </c>
      <c r="AJ48" s="40"/>
      <c r="AK48" s="40"/>
      <c r="AL48" s="40"/>
      <c r="AM48" s="40"/>
    </row>
    <row r="49" spans="6:28" ht="0.45" customHeight="1">
      <c r="F49" s="23" t="s">
        <v>12</v>
      </c>
      <c r="G49" s="23" t="str">
        <f>CONCATENATE(T1,", [",X5,"; ",X6,"]")</f>
        <v xml:space="preserve"> у = х² - 1, [-4; -2]</v>
      </c>
      <c r="H49" s="28"/>
      <c r="R49" s="18"/>
      <c r="U49" s="23"/>
      <c r="V49" s="33"/>
      <c r="W49" s="33"/>
      <c r="X49" s="33"/>
      <c r="Y49" s="33"/>
      <c r="Z49" s="51"/>
      <c r="AA49" s="51"/>
      <c r="AB49" s="58"/>
    </row>
    <row r="50" spans="6:28" ht="0.45" customHeight="1">
      <c r="F50" s="23">
        <f>X5</f>
        <v>-4</v>
      </c>
      <c r="G50" s="23">
        <f>$B$5*(F50^2)+$B$6*F50+$B$7</f>
        <v>15</v>
      </c>
      <c r="H50" s="28"/>
      <c r="R50" s="18"/>
      <c r="U50" s="23"/>
      <c r="V50" s="33"/>
      <c r="W50" s="33"/>
      <c r="X50" s="33"/>
      <c r="Y50" s="33"/>
      <c r="Z50" s="51"/>
      <c r="AA50" s="51"/>
      <c r="AB50" s="58"/>
    </row>
    <row r="51" spans="6:28" ht="0.45" customHeight="1">
      <c r="F51" s="23">
        <f>F50-(($X$5-$X$6)/20)</f>
        <v>-3.9</v>
      </c>
      <c r="G51" s="23">
        <f t="shared" ref="G51:G70" si="92">$B$5*(F51^2)+$B$6*F51+$B$7</f>
        <v>14.209999999999999</v>
      </c>
      <c r="H51" s="28"/>
      <c r="R51" s="18"/>
      <c r="U51" s="23"/>
      <c r="V51" s="33"/>
      <c r="W51" s="33"/>
      <c r="X51" s="33"/>
      <c r="Y51" s="33"/>
      <c r="Z51" s="51"/>
      <c r="AA51" s="51"/>
      <c r="AB51" s="58"/>
    </row>
    <row r="52" spans="6:28" ht="0.45" customHeight="1">
      <c r="F52" s="23">
        <f t="shared" ref="F52:F70" si="93">F51-(($X$5-$X$6)/20)</f>
        <v>-3.8</v>
      </c>
      <c r="G52" s="23">
        <f t="shared" si="92"/>
        <v>13.44</v>
      </c>
      <c r="H52" s="28"/>
      <c r="R52" s="18"/>
      <c r="U52" s="23"/>
      <c r="V52" s="33"/>
      <c r="W52" s="33"/>
      <c r="X52" s="33"/>
      <c r="Y52" s="33"/>
      <c r="Z52" s="51"/>
      <c r="AA52" s="51"/>
      <c r="AB52" s="58"/>
    </row>
    <row r="53" spans="6:28" ht="0.45" customHeight="1">
      <c r="F53" s="23">
        <f t="shared" si="93"/>
        <v>-3.6999999999999997</v>
      </c>
      <c r="G53" s="23">
        <f t="shared" si="92"/>
        <v>12.689999999999998</v>
      </c>
      <c r="H53" s="28"/>
      <c r="V53" s="10"/>
      <c r="W53" s="10"/>
      <c r="X53" s="10"/>
      <c r="Y53" s="10"/>
      <c r="AA53" s="58"/>
    </row>
    <row r="54" spans="6:28" ht="0.45" customHeight="1">
      <c r="F54" s="23">
        <f t="shared" si="93"/>
        <v>-3.5999999999999996</v>
      </c>
      <c r="G54" s="23">
        <f t="shared" si="92"/>
        <v>11.959999999999997</v>
      </c>
      <c r="H54" s="28"/>
      <c r="V54" s="10"/>
      <c r="W54" s="10"/>
      <c r="X54" s="10"/>
      <c r="Y54" s="10"/>
      <c r="AA54" s="58"/>
    </row>
    <row r="55" spans="6:28" ht="0.45" customHeight="1">
      <c r="F55" s="23">
        <f t="shared" si="93"/>
        <v>-3.4999999999999996</v>
      </c>
      <c r="G55" s="23">
        <f t="shared" si="92"/>
        <v>11.249999999999996</v>
      </c>
      <c r="H55" s="28"/>
    </row>
    <row r="56" spans="6:28" ht="0.45" customHeight="1">
      <c r="F56" s="23">
        <f t="shared" si="93"/>
        <v>-3.3999999999999995</v>
      </c>
      <c r="G56" s="23">
        <f t="shared" si="92"/>
        <v>10.559999999999997</v>
      </c>
      <c r="H56" s="28"/>
    </row>
    <row r="57" spans="6:28" ht="0.45" customHeight="1">
      <c r="F57" s="23">
        <f t="shared" si="93"/>
        <v>-3.2999999999999994</v>
      </c>
      <c r="G57" s="23">
        <f t="shared" si="92"/>
        <v>9.8899999999999952</v>
      </c>
      <c r="H57" s="28"/>
    </row>
    <row r="58" spans="6:28" ht="0.45" customHeight="1">
      <c r="F58" s="23">
        <f t="shared" si="93"/>
        <v>-3.1999999999999993</v>
      </c>
      <c r="G58" s="23">
        <f t="shared" si="92"/>
        <v>9.2399999999999949</v>
      </c>
      <c r="H58" s="28"/>
    </row>
    <row r="59" spans="6:28" ht="0.45" customHeight="1">
      <c r="F59" s="23">
        <f t="shared" si="93"/>
        <v>-3.0999999999999992</v>
      </c>
      <c r="G59" s="23">
        <f t="shared" si="92"/>
        <v>8.6099999999999959</v>
      </c>
      <c r="H59" s="28"/>
    </row>
    <row r="60" spans="6:28" ht="0.45" customHeight="1">
      <c r="F60" s="23">
        <f t="shared" si="93"/>
        <v>-2.9999999999999991</v>
      </c>
      <c r="G60" s="23">
        <f t="shared" si="92"/>
        <v>7.9999999999999947</v>
      </c>
      <c r="H60" s="28"/>
    </row>
    <row r="61" spans="6:28" ht="0.45" customHeight="1">
      <c r="F61" s="23">
        <f t="shared" si="93"/>
        <v>-2.899999999999999</v>
      </c>
      <c r="G61" s="23">
        <f t="shared" si="92"/>
        <v>7.4099999999999948</v>
      </c>
      <c r="H61" s="28"/>
    </row>
    <row r="62" spans="6:28" ht="0.45" customHeight="1">
      <c r="F62" s="23">
        <f t="shared" si="93"/>
        <v>-2.7999999999999989</v>
      </c>
      <c r="G62" s="23">
        <f t="shared" si="92"/>
        <v>6.8399999999999936</v>
      </c>
      <c r="H62" s="28"/>
    </row>
    <row r="63" spans="6:28" ht="0.45" customHeight="1">
      <c r="F63" s="23">
        <f t="shared" si="93"/>
        <v>-2.6999999999999988</v>
      </c>
      <c r="G63" s="23">
        <f t="shared" si="92"/>
        <v>6.2899999999999938</v>
      </c>
    </row>
    <row r="64" spans="6:28" ht="0.45" customHeight="1">
      <c r="F64" s="23">
        <f t="shared" si="93"/>
        <v>-2.5999999999999988</v>
      </c>
      <c r="G64" s="23">
        <f t="shared" si="92"/>
        <v>5.7599999999999936</v>
      </c>
    </row>
    <row r="65" spans="6:7" ht="0.45" customHeight="1">
      <c r="F65" s="23">
        <f t="shared" si="93"/>
        <v>-2.4999999999999987</v>
      </c>
      <c r="G65" s="23">
        <f t="shared" si="92"/>
        <v>5.2499999999999929</v>
      </c>
    </row>
    <row r="66" spans="6:7" ht="0.45" customHeight="1">
      <c r="F66" s="23">
        <f t="shared" si="93"/>
        <v>-2.3999999999999986</v>
      </c>
      <c r="G66" s="23">
        <f t="shared" si="92"/>
        <v>4.7599999999999936</v>
      </c>
    </row>
    <row r="67" spans="6:7" ht="0.45" customHeight="1">
      <c r="F67" s="23">
        <f t="shared" si="93"/>
        <v>-2.2999999999999985</v>
      </c>
      <c r="G67" s="23">
        <f t="shared" si="92"/>
        <v>4.2899999999999929</v>
      </c>
    </row>
    <row r="68" spans="6:7" ht="0.45" customHeight="1">
      <c r="F68" s="23">
        <f t="shared" si="93"/>
        <v>-2.1999999999999984</v>
      </c>
      <c r="G68" s="23">
        <f t="shared" si="92"/>
        <v>3.8399999999999928</v>
      </c>
    </row>
    <row r="69" spans="6:7" ht="0.45" customHeight="1">
      <c r="F69" s="23">
        <f t="shared" si="93"/>
        <v>-2.0999999999999983</v>
      </c>
      <c r="G69" s="23">
        <f t="shared" si="92"/>
        <v>3.409999999999993</v>
      </c>
    </row>
    <row r="70" spans="6:7" ht="0.45" customHeight="1">
      <c r="F70" s="23">
        <f t="shared" si="93"/>
        <v>-1.9999999999999982</v>
      </c>
      <c r="G70" s="23">
        <f t="shared" si="92"/>
        <v>2.9999999999999929</v>
      </c>
    </row>
  </sheetData>
  <sheetProtection sheet="1" objects="1" scenarios="1"/>
  <mergeCells count="179">
    <mergeCell ref="AA15:AA16"/>
    <mergeCell ref="AA17:AA18"/>
    <mergeCell ref="AA19:AA20"/>
    <mergeCell ref="AA25:AA26"/>
    <mergeCell ref="AA21:AA22"/>
    <mergeCell ref="AA23:AA24"/>
    <mergeCell ref="P14:P25"/>
    <mergeCell ref="A38:B38"/>
    <mergeCell ref="A39:B39"/>
    <mergeCell ref="A33:B33"/>
    <mergeCell ref="A34:B34"/>
    <mergeCell ref="A35:B35"/>
    <mergeCell ref="A36:B36"/>
    <mergeCell ref="A37:B37"/>
    <mergeCell ref="A29:B29"/>
    <mergeCell ref="A30:B30"/>
    <mergeCell ref="A31:B31"/>
    <mergeCell ref="A32:B32"/>
    <mergeCell ref="V4:Y4"/>
    <mergeCell ref="U3:Y3"/>
    <mergeCell ref="A4:C4"/>
    <mergeCell ref="B5:C5"/>
    <mergeCell ref="B6:C6"/>
    <mergeCell ref="P1:P4"/>
    <mergeCell ref="R1:R4"/>
    <mergeCell ref="A1:N1"/>
    <mergeCell ref="E2:J2"/>
    <mergeCell ref="H4:N4"/>
    <mergeCell ref="A3:N3"/>
    <mergeCell ref="E4:G4"/>
    <mergeCell ref="V1:Y2"/>
    <mergeCell ref="V5:W5"/>
    <mergeCell ref="X5:Y5"/>
    <mergeCell ref="V6:W6"/>
    <mergeCell ref="B7:C7"/>
    <mergeCell ref="A25:B25"/>
    <mergeCell ref="A15:B15"/>
    <mergeCell ref="A17:B17"/>
    <mergeCell ref="A19:B19"/>
    <mergeCell ref="A21:B21"/>
    <mergeCell ref="A23:B23"/>
    <mergeCell ref="A11:B11"/>
    <mergeCell ref="A13:B13"/>
    <mergeCell ref="A9:B9"/>
    <mergeCell ref="AA1:AF1"/>
    <mergeCell ref="AA2:AA3"/>
    <mergeCell ref="AB2:AB3"/>
    <mergeCell ref="AC2:AC3"/>
    <mergeCell ref="AD2:AD3"/>
    <mergeCell ref="AE2:AE3"/>
    <mergeCell ref="AF2:AF3"/>
    <mergeCell ref="AB11:AB12"/>
    <mergeCell ref="AC11:AC12"/>
    <mergeCell ref="AD11:AD12"/>
    <mergeCell ref="AE11:AE12"/>
    <mergeCell ref="AF11:AF12"/>
    <mergeCell ref="AA11:AA12"/>
    <mergeCell ref="AB13:AB14"/>
    <mergeCell ref="AC13:AC14"/>
    <mergeCell ref="AD13:AD14"/>
    <mergeCell ref="AE13:AE14"/>
    <mergeCell ref="AF13:AF14"/>
    <mergeCell ref="AA9:AA10"/>
    <mergeCell ref="X6:Y6"/>
    <mergeCell ref="V7:Y7"/>
    <mergeCell ref="V9:W9"/>
    <mergeCell ref="X9:Y9"/>
    <mergeCell ref="AA7:AA8"/>
    <mergeCell ref="AB7:AB8"/>
    <mergeCell ref="AC7:AC8"/>
    <mergeCell ref="AD7:AD8"/>
    <mergeCell ref="AE7:AE8"/>
    <mergeCell ref="AF7:AF8"/>
    <mergeCell ref="AB9:AB10"/>
    <mergeCell ref="AC9:AC10"/>
    <mergeCell ref="AD9:AD10"/>
    <mergeCell ref="AE9:AE10"/>
    <mergeCell ref="AF9:AF10"/>
    <mergeCell ref="AA13:AA14"/>
    <mergeCell ref="V11:W11"/>
    <mergeCell ref="X11:Y11"/>
    <mergeCell ref="AB15:AB16"/>
    <mergeCell ref="AC15:AC16"/>
    <mergeCell ref="AD15:AD16"/>
    <mergeCell ref="AE15:AE16"/>
    <mergeCell ref="AF15:AF16"/>
    <mergeCell ref="AB17:AB18"/>
    <mergeCell ref="AC17:AC18"/>
    <mergeCell ref="AD17:AD18"/>
    <mergeCell ref="AE17:AE18"/>
    <mergeCell ref="AF17:AF18"/>
    <mergeCell ref="AB19:AB20"/>
    <mergeCell ref="AC19:AC20"/>
    <mergeCell ref="AD19:AD20"/>
    <mergeCell ref="AE19:AE20"/>
    <mergeCell ref="AF19:AF20"/>
    <mergeCell ref="AB21:AB22"/>
    <mergeCell ref="AC21:AC22"/>
    <mergeCell ref="AD21:AD22"/>
    <mergeCell ref="AE21:AE22"/>
    <mergeCell ref="AF21:AF22"/>
    <mergeCell ref="AB23:AB24"/>
    <mergeCell ref="AC23:AC24"/>
    <mergeCell ref="AD23:AD24"/>
    <mergeCell ref="AE23:AE24"/>
    <mergeCell ref="AF23:AF24"/>
    <mergeCell ref="AB25:AB26"/>
    <mergeCell ref="AC25:AC26"/>
    <mergeCell ref="AD25:AD26"/>
    <mergeCell ref="AE25:AE26"/>
    <mergeCell ref="AF25:AF26"/>
    <mergeCell ref="AG4:AG47"/>
    <mergeCell ref="AH1:AM1"/>
    <mergeCell ref="AH2:AH3"/>
    <mergeCell ref="AI2:AI3"/>
    <mergeCell ref="AJ2:AJ3"/>
    <mergeCell ref="AK2:AK3"/>
    <mergeCell ref="AL2:AL3"/>
    <mergeCell ref="AM2:AM3"/>
    <mergeCell ref="AH7:AH8"/>
    <mergeCell ref="AI7:AI8"/>
    <mergeCell ref="AJ7:AJ8"/>
    <mergeCell ref="AK7:AK8"/>
    <mergeCell ref="AL7:AL8"/>
    <mergeCell ref="AM7:AM8"/>
    <mergeCell ref="AH9:AH10"/>
    <mergeCell ref="AI9:AI10"/>
    <mergeCell ref="AJ9:AJ10"/>
    <mergeCell ref="AK9:AK10"/>
    <mergeCell ref="AL9:AL10"/>
    <mergeCell ref="AM9:AM10"/>
    <mergeCell ref="AH11:AH12"/>
    <mergeCell ref="AI11:AI12"/>
    <mergeCell ref="AJ11:AJ12"/>
    <mergeCell ref="AK11:AK12"/>
    <mergeCell ref="AL11:AL12"/>
    <mergeCell ref="AM11:AM12"/>
    <mergeCell ref="AH13:AH14"/>
    <mergeCell ref="AI13:AI14"/>
    <mergeCell ref="AJ13:AJ14"/>
    <mergeCell ref="AK13:AK14"/>
    <mergeCell ref="AL13:AL14"/>
    <mergeCell ref="AM13:AM14"/>
    <mergeCell ref="AH15:AH16"/>
    <mergeCell ref="AI15:AI16"/>
    <mergeCell ref="AJ15:AJ16"/>
    <mergeCell ref="AK15:AK16"/>
    <mergeCell ref="AL15:AL16"/>
    <mergeCell ref="AM15:AM16"/>
    <mergeCell ref="AH17:AH18"/>
    <mergeCell ref="AI17:AI18"/>
    <mergeCell ref="AJ17:AJ18"/>
    <mergeCell ref="AK17:AK18"/>
    <mergeCell ref="AL17:AL18"/>
    <mergeCell ref="AM17:AM18"/>
    <mergeCell ref="AH19:AH20"/>
    <mergeCell ref="AI19:AI20"/>
    <mergeCell ref="AJ19:AJ20"/>
    <mergeCell ref="AK19:AK20"/>
    <mergeCell ref="AL19:AL20"/>
    <mergeCell ref="AM19:AM20"/>
    <mergeCell ref="AH25:AH26"/>
    <mergeCell ref="AI25:AI26"/>
    <mergeCell ref="AJ25:AJ26"/>
    <mergeCell ref="AK25:AK26"/>
    <mergeCell ref="AL25:AL26"/>
    <mergeCell ref="AM25:AM26"/>
    <mergeCell ref="AH21:AH22"/>
    <mergeCell ref="AI21:AI22"/>
    <mergeCell ref="AJ21:AJ22"/>
    <mergeCell ref="AK21:AK22"/>
    <mergeCell ref="AL21:AL22"/>
    <mergeCell ref="AM21:AM22"/>
    <mergeCell ref="AH23:AH24"/>
    <mergeCell ref="AI23:AI24"/>
    <mergeCell ref="AJ23:AJ24"/>
    <mergeCell ref="AK23:AK24"/>
    <mergeCell ref="AL23:AL24"/>
    <mergeCell ref="AM23:AM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Scroll Bar 13">
              <controlPr defaultSize="0" print="0" autoPict="0">
                <anchor>
                  <from>
                    <xdr:col>17</xdr:col>
                    <xdr:colOff>38100</xdr:colOff>
                    <xdr:row>4</xdr:row>
                    <xdr:rowOff>22860</xdr:rowOff>
                  </from>
                  <to>
                    <xdr:col>17</xdr:col>
                    <xdr:colOff>746760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Option Button 15">
              <controlPr defaultSize="0" autoFill="0" autoLine="0" autoPict="0" altText="f(x)">
                <anchor>
                  <from>
                    <xdr:col>15</xdr:col>
                    <xdr:colOff>38100</xdr:colOff>
                    <xdr:row>4</xdr:row>
                    <xdr:rowOff>45720</xdr:rowOff>
                  </from>
                  <to>
                    <xdr:col>15</xdr:col>
                    <xdr:colOff>784860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Option Button 16">
              <controlPr defaultSize="0" autoFill="0" autoLine="0" autoPict="0">
                <anchor>
                  <from>
                    <xdr:col>15</xdr:col>
                    <xdr:colOff>38100</xdr:colOff>
                    <xdr:row>6</xdr:row>
                    <xdr:rowOff>38100</xdr:rowOff>
                  </from>
                  <to>
                    <xdr:col>15</xdr:col>
                    <xdr:colOff>784860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Option Button 17">
              <controlPr defaultSize="0" autoFill="0" autoLine="0" autoPict="0" altText="f(x)">
                <anchor>
                  <from>
                    <xdr:col>15</xdr:col>
                    <xdr:colOff>38100</xdr:colOff>
                    <xdr:row>9</xdr:row>
                    <xdr:rowOff>15240</xdr:rowOff>
                  </from>
                  <to>
                    <xdr:col>15</xdr:col>
                    <xdr:colOff>784860</xdr:colOff>
                    <xdr:row>12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Школа 1212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О. Прокопчук</dc:creator>
  <cp:lastModifiedBy>Роман</cp:lastModifiedBy>
  <dcterms:created xsi:type="dcterms:W3CDTF">2020-09-11T06:41:41Z</dcterms:created>
  <dcterms:modified xsi:type="dcterms:W3CDTF">2020-11-12T20:15:12Z</dcterms:modified>
</cp:coreProperties>
</file>